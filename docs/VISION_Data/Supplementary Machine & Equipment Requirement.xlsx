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D - New Project\India - New Project\Hether Gray\"/>
    </mc:Choice>
  </mc:AlternateContent>
  <xr:revisionPtr revIDLastSave="0" documentId="13_ncr:1_{1053D078-3AC7-4C8C-A290-9695F6F78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ementary Machine" sheetId="11" r:id="rId1"/>
  </sheets>
  <calcPr calcId="191029"/>
</workbook>
</file>

<file path=xl/calcChain.xml><?xml version="1.0" encoding="utf-8"?>
<calcChain xmlns="http://schemas.openxmlformats.org/spreadsheetml/2006/main">
  <c r="G12" i="11" l="1"/>
  <c r="G34" i="11"/>
  <c r="G35" i="11"/>
  <c r="G8" i="11"/>
  <c r="G23" i="11"/>
  <c r="G26" i="11"/>
  <c r="G25" i="11"/>
  <c r="G24" i="11"/>
  <c r="G22" i="11"/>
  <c r="I35" i="11" l="1"/>
  <c r="G33" i="11"/>
  <c r="I33" i="11" s="1"/>
  <c r="G32" i="11"/>
  <c r="I32" i="11" s="1"/>
  <c r="G31" i="11"/>
  <c r="I31" i="11" s="1"/>
  <c r="G30" i="11"/>
  <c r="G29" i="11"/>
  <c r="I29" i="11" s="1"/>
  <c r="G28" i="11"/>
  <c r="I28" i="11" s="1"/>
  <c r="G27" i="11"/>
  <c r="I27" i="11" s="1"/>
  <c r="I25" i="11"/>
  <c r="I24" i="11"/>
  <c r="G21" i="11"/>
  <c r="G20" i="11"/>
  <c r="I20" i="11" s="1"/>
  <c r="G19" i="11"/>
  <c r="I19" i="11" s="1"/>
  <c r="H18" i="11"/>
  <c r="G18" i="11"/>
  <c r="G17" i="11"/>
  <c r="G16" i="11"/>
  <c r="G15" i="11"/>
  <c r="I15" i="11" s="1"/>
  <c r="I14" i="11"/>
  <c r="G13" i="11"/>
  <c r="I13" i="11" s="1"/>
  <c r="G11" i="11"/>
  <c r="I11" i="11" s="1"/>
  <c r="G10" i="11"/>
  <c r="I10" i="11" s="1"/>
  <c r="G9" i="11"/>
  <c r="I9" i="11" s="1"/>
  <c r="G7" i="11"/>
  <c r="G6" i="11"/>
  <c r="I6" i="11" s="1"/>
  <c r="I18" i="11" l="1"/>
</calcChain>
</file>

<file path=xl/sharedStrings.xml><?xml version="1.0" encoding="utf-8"?>
<sst xmlns="http://schemas.openxmlformats.org/spreadsheetml/2006/main" count="125" uniqueCount="72">
  <si>
    <t>NO</t>
  </si>
  <si>
    <t>CAT</t>
  </si>
  <si>
    <t>Machine Type</t>
  </si>
  <si>
    <t>Sample  Room Machinery</t>
  </si>
  <si>
    <t>Est Unit Cost $</t>
  </si>
  <si>
    <t>Estimated Total Cost US$</t>
  </si>
  <si>
    <t>MAKE</t>
  </si>
  <si>
    <t xml:space="preserve">MODEL NO </t>
  </si>
  <si>
    <t>SEW</t>
  </si>
  <si>
    <t>Veit</t>
  </si>
  <si>
    <t>VEIT 2366 Mini Boiler,  Varioset DB S+B Ironing Table,</t>
  </si>
  <si>
    <t>Needle/Metal Detector</t>
  </si>
  <si>
    <t>Oshima</t>
  </si>
  <si>
    <t>HN 2870</t>
  </si>
  <si>
    <t>Hashima</t>
  </si>
  <si>
    <t>Machine Transferring Trolleys</t>
  </si>
  <si>
    <t xml:space="preserve">Local </t>
  </si>
  <si>
    <t>Thread Rewinder</t>
  </si>
  <si>
    <t xml:space="preserve">Hashima </t>
  </si>
  <si>
    <t>HW-40C-HAS</t>
  </si>
  <si>
    <t>Local</t>
  </si>
  <si>
    <t>CUT</t>
  </si>
  <si>
    <t>CTEX -50000 USD</t>
  </si>
  <si>
    <t>CTEX-35000 USD/NS</t>
  </si>
  <si>
    <t>Marble</t>
  </si>
  <si>
    <t>Auto Spreading MC</t>
  </si>
  <si>
    <t>Gerber</t>
  </si>
  <si>
    <t>Gerber XLs125</t>
  </si>
  <si>
    <t>Eastman</t>
  </si>
  <si>
    <t>Band Knife</t>
  </si>
  <si>
    <t>Numbering Machine</t>
  </si>
  <si>
    <t>Metro</t>
  </si>
  <si>
    <t>End Cutters</t>
  </si>
  <si>
    <t xml:space="preserve">EASTMAN  </t>
  </si>
  <si>
    <t xml:space="preserve"> EC-9N</t>
  </si>
  <si>
    <t>Tagging M/C</t>
  </si>
  <si>
    <t>Sample Room</t>
  </si>
  <si>
    <t>Spreading Tables 5m</t>
  </si>
  <si>
    <t>Cutter Circular Knife</t>
  </si>
  <si>
    <t>Dummies</t>
  </si>
  <si>
    <t>China</t>
  </si>
  <si>
    <t>Patern Design marker making Software + Digitizer</t>
  </si>
  <si>
    <t>SW</t>
  </si>
  <si>
    <t>Plotter</t>
  </si>
  <si>
    <t>Total Machine Availability</t>
  </si>
  <si>
    <t>Balance to purchase</t>
  </si>
  <si>
    <t>Patern cutter mc</t>
  </si>
  <si>
    <t>Heat Seal MC</t>
  </si>
  <si>
    <t>Fabric Inspection Machine</t>
  </si>
  <si>
    <t xml:space="preserve">Fabric Relaxing machine </t>
  </si>
  <si>
    <t xml:space="preserve">Spreading  Tables 14.4m </t>
  </si>
  <si>
    <t>Make</t>
  </si>
  <si>
    <t>Hasima</t>
  </si>
  <si>
    <t>Winda</t>
  </si>
  <si>
    <t>Trolleys and trays for goods transferring (L 1500*W 1000 *H 850)</t>
  </si>
  <si>
    <t>Steam Iron</t>
  </si>
  <si>
    <t>Iron Board + Mini Boiler</t>
  </si>
  <si>
    <t>Fabric Relaxing Rack  (L2100*W1200*H1800)</t>
  </si>
  <si>
    <t>Spot Removing Machine</t>
  </si>
  <si>
    <t>Vertical Knife (MANUAL CUT MC) 10 inch</t>
  </si>
  <si>
    <t>KM</t>
  </si>
  <si>
    <t>Fabric Rolling Machine With Edge Device</t>
  </si>
  <si>
    <t>Automatic Binding Cutting (Slitter) Machine</t>
  </si>
  <si>
    <t>Sewing Floor</t>
  </si>
  <si>
    <t>Total Machine Requirments</t>
  </si>
  <si>
    <t>Automatic Flat Fusing Pressing Machine</t>
  </si>
  <si>
    <t>Fusing MC</t>
  </si>
  <si>
    <t>Embroidery MC (20 Heads)</t>
  </si>
  <si>
    <t>Thread Sucking MC</t>
  </si>
  <si>
    <t xml:space="preserve">Supplementary  Machine &amp; Equipment Requirement  </t>
  </si>
  <si>
    <t>Plant : Heather Grey  (pvt) Ltd.</t>
  </si>
  <si>
    <t>Date : 14/12/24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</si>
</sst>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444444"/>
      <name val="Arial"/>
      <family val="2"/>
    </font>
    <font>
      <b/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/>
  </cellStyleXfs>
  <cellXfs count="42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/>
    </xf>
    <xf numFmtId="0" fontId="7" fillId="3" borderId="1" xfId="2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8" fillId="3" borderId="1" xfId="0" applyFont="1" applyFill="1" applyBorder="1"/>
    <xf numFmtId="0" fontId="0" fillId="3" borderId="1" xfId="0" applyFill="1" applyBorder="1" applyAlignment="1">
      <alignment horizontal="center" wrapText="1"/>
    </xf>
    <xf numFmtId="3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7" fillId="3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right"/>
    </xf>
    <xf numFmtId="0" fontId="7" fillId="3" borderId="2" xfId="2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3" borderId="10" xfId="2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" fontId="7" fillId="3" borderId="8" xfId="2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2" fillId="5" borderId="0" xfId="0" applyFont="1" applyFill="1"/>
    <xf numFmtId="0" fontId="9" fillId="5" borderId="0" xfId="0" applyFont="1" applyFill="1"/>
    <xf numFmtId="0" fontId="2" fillId="5" borderId="0" xfId="0" applyFont="1" applyFill="1"/>
    <xf numFmtId="0" fontId="0" fillId="5" borderId="2" xfId="0" applyFill="1" applyBorder="1"/>
    <xf numFmtId="0" fontId="0" fillId="5" borderId="1" xfId="0" applyFill="1" applyBorder="1"/>
    <xf numFmtId="0" fontId="10" fillId="5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4" fillId="4" borderId="5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2 2" xfId="7" xr:uid="{72F1C6C1-24C1-41EA-BEA6-336D99994539}"/>
    <cellStyle name="Comma 2 4" xfId="4" xr:uid="{00000000-0005-0000-0000-000002000000}"/>
    <cellStyle name="Normal" xfId="0" builtinId="0"/>
    <cellStyle name="Normal 10 2" xfId="5" xr:uid="{00000000-0005-0000-0000-000004000000}"/>
    <cellStyle name="Normal 2" xfId="8" xr:uid="{26AEC060-74F3-4AE2-A061-161CFC011A61}"/>
    <cellStyle name="Normal 8" xfId="2" xr:uid="{00000000-0005-0000-0000-000005000000}"/>
    <cellStyle name="Percent 2" xfId="6" xr:uid="{D697B2EB-A9AA-4B00-982B-2578909CAED0}"/>
  </cellStyles>
  <dxfs count="0"/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333363</xdr:colOff>
      <xdr:row>0</xdr:row>
      <xdr:rowOff>39860</xdr:rowOff>
    </xdr:from>
    <xdr:to>
      <xdr:col>6</xdr:col>
      <xdr:colOff>1119187</xdr:colOff>
      <xdr:row>3</xdr:row>
      <xdr:rowOff>165434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27880-0726-4EAD-B63D-4C85DD876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0113" y="39860"/>
          <a:ext cx="2484449" cy="943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AF16-8892-4640-B8EE-637E27E258B7}">
  <sheetPr codeName="Sheet6">
    <tabColor rgb="FF00B050"/>
    <pageSetUpPr fitToPage="1"/>
  </sheetPr>
  <dimension ref="A1:N35"/>
  <sheetViews>
    <sheetView tabSelected="1" zoomScale="80" zoomScaleNormal="80" workbookViewId="0">
      <selection activeCell="T9" sqref="T9"/>
    </sheetView>
  </sheetViews>
  <sheetFormatPr defaultRowHeight="14.5" x14ac:dyDescent="0.35"/>
  <cols>
    <col min="1" max="1" width="9.1796875" customWidth="1"/>
    <col min="2" max="2" width="13.453125" customWidth="1"/>
    <col min="3" max="3" width="54.26953125" customWidth="1"/>
    <col min="4" max="4" width="12.81640625" customWidth="1"/>
    <col min="5" max="5" width="12.26953125" style="12" customWidth="1"/>
    <col min="6" max="6" width="12.1796875" style="12" customWidth="1"/>
    <col min="7" max="7" width="16.26953125" customWidth="1"/>
    <col min="8" max="8" width="8.7265625" hidden="1" customWidth="1"/>
    <col min="9" max="9" width="10.26953125" hidden="1" customWidth="1"/>
    <col min="10" max="10" width="20.453125" hidden="1" customWidth="1"/>
    <col min="11" max="11" width="22.54296875" hidden="1" customWidth="1"/>
    <col min="13" max="13" width="16.1796875" style="12" hidden="1" customWidth="1"/>
    <col min="14" max="14" width="10.81640625" style="12" hidden="1" customWidth="1"/>
    <col min="257" max="257" width="2.81640625" customWidth="1"/>
    <col min="259" max="259" width="12.7265625" bestFit="1" customWidth="1"/>
    <col min="260" max="260" width="42.26953125" customWidth="1"/>
    <col min="263" max="264" width="8.7265625" bestFit="1" customWidth="1"/>
    <col min="265" max="265" width="10.26953125" bestFit="1" customWidth="1"/>
    <col min="266" max="266" width="20.453125" customWidth="1"/>
    <col min="267" max="267" width="22.54296875" customWidth="1"/>
    <col min="513" max="513" width="2.81640625" customWidth="1"/>
    <col min="515" max="515" width="12.7265625" bestFit="1" customWidth="1"/>
    <col min="516" max="516" width="42.26953125" customWidth="1"/>
    <col min="519" max="520" width="8.7265625" bestFit="1" customWidth="1"/>
    <col min="521" max="521" width="10.26953125" bestFit="1" customWidth="1"/>
    <col min="522" max="522" width="20.453125" customWidth="1"/>
    <col min="523" max="523" width="22.54296875" customWidth="1"/>
    <col min="769" max="769" width="2.81640625" customWidth="1"/>
    <col min="771" max="771" width="12.7265625" bestFit="1" customWidth="1"/>
    <col min="772" max="772" width="42.26953125" customWidth="1"/>
    <col min="775" max="776" width="8.7265625" bestFit="1" customWidth="1"/>
    <col min="777" max="777" width="10.26953125" bestFit="1" customWidth="1"/>
    <col min="778" max="778" width="20.453125" customWidth="1"/>
    <col min="779" max="779" width="22.54296875" customWidth="1"/>
    <col min="1025" max="1025" width="2.81640625" customWidth="1"/>
    <col min="1027" max="1027" width="12.7265625" bestFit="1" customWidth="1"/>
    <col min="1028" max="1028" width="42.26953125" customWidth="1"/>
    <col min="1031" max="1032" width="8.7265625" bestFit="1" customWidth="1"/>
    <col min="1033" max="1033" width="10.26953125" bestFit="1" customWidth="1"/>
    <col min="1034" max="1034" width="20.453125" customWidth="1"/>
    <col min="1035" max="1035" width="22.54296875" customWidth="1"/>
    <col min="1281" max="1281" width="2.81640625" customWidth="1"/>
    <col min="1283" max="1283" width="12.7265625" bestFit="1" customWidth="1"/>
    <col min="1284" max="1284" width="42.26953125" customWidth="1"/>
    <col min="1287" max="1288" width="8.7265625" bestFit="1" customWidth="1"/>
    <col min="1289" max="1289" width="10.26953125" bestFit="1" customWidth="1"/>
    <col min="1290" max="1290" width="20.453125" customWidth="1"/>
    <col min="1291" max="1291" width="22.54296875" customWidth="1"/>
    <col min="1537" max="1537" width="2.81640625" customWidth="1"/>
    <col min="1539" max="1539" width="12.7265625" bestFit="1" customWidth="1"/>
    <col min="1540" max="1540" width="42.26953125" customWidth="1"/>
    <col min="1543" max="1544" width="8.7265625" bestFit="1" customWidth="1"/>
    <col min="1545" max="1545" width="10.26953125" bestFit="1" customWidth="1"/>
    <col min="1546" max="1546" width="20.453125" customWidth="1"/>
    <col min="1547" max="1547" width="22.54296875" customWidth="1"/>
    <col min="1793" max="1793" width="2.81640625" customWidth="1"/>
    <col min="1795" max="1795" width="12.7265625" bestFit="1" customWidth="1"/>
    <col min="1796" max="1796" width="42.26953125" customWidth="1"/>
    <col min="1799" max="1800" width="8.7265625" bestFit="1" customWidth="1"/>
    <col min="1801" max="1801" width="10.26953125" bestFit="1" customWidth="1"/>
    <col min="1802" max="1802" width="20.453125" customWidth="1"/>
    <col min="1803" max="1803" width="22.54296875" customWidth="1"/>
    <col min="2049" max="2049" width="2.81640625" customWidth="1"/>
    <col min="2051" max="2051" width="12.7265625" bestFit="1" customWidth="1"/>
    <col min="2052" max="2052" width="42.26953125" customWidth="1"/>
    <col min="2055" max="2056" width="8.7265625" bestFit="1" customWidth="1"/>
    <col min="2057" max="2057" width="10.26953125" bestFit="1" customWidth="1"/>
    <col min="2058" max="2058" width="20.453125" customWidth="1"/>
    <col min="2059" max="2059" width="22.54296875" customWidth="1"/>
    <col min="2305" max="2305" width="2.81640625" customWidth="1"/>
    <col min="2307" max="2307" width="12.7265625" bestFit="1" customWidth="1"/>
    <col min="2308" max="2308" width="42.26953125" customWidth="1"/>
    <col min="2311" max="2312" width="8.7265625" bestFit="1" customWidth="1"/>
    <col min="2313" max="2313" width="10.26953125" bestFit="1" customWidth="1"/>
    <col min="2314" max="2314" width="20.453125" customWidth="1"/>
    <col min="2315" max="2315" width="22.54296875" customWidth="1"/>
    <col min="2561" max="2561" width="2.81640625" customWidth="1"/>
    <col min="2563" max="2563" width="12.7265625" bestFit="1" customWidth="1"/>
    <col min="2564" max="2564" width="42.26953125" customWidth="1"/>
    <col min="2567" max="2568" width="8.7265625" bestFit="1" customWidth="1"/>
    <col min="2569" max="2569" width="10.26953125" bestFit="1" customWidth="1"/>
    <col min="2570" max="2570" width="20.453125" customWidth="1"/>
    <col min="2571" max="2571" width="22.54296875" customWidth="1"/>
    <col min="2817" max="2817" width="2.81640625" customWidth="1"/>
    <col min="2819" max="2819" width="12.7265625" bestFit="1" customWidth="1"/>
    <col min="2820" max="2820" width="42.26953125" customWidth="1"/>
    <col min="2823" max="2824" width="8.7265625" bestFit="1" customWidth="1"/>
    <col min="2825" max="2825" width="10.26953125" bestFit="1" customWidth="1"/>
    <col min="2826" max="2826" width="20.453125" customWidth="1"/>
    <col min="2827" max="2827" width="22.54296875" customWidth="1"/>
    <col min="3073" max="3073" width="2.81640625" customWidth="1"/>
    <col min="3075" max="3075" width="12.7265625" bestFit="1" customWidth="1"/>
    <col min="3076" max="3076" width="42.26953125" customWidth="1"/>
    <col min="3079" max="3080" width="8.7265625" bestFit="1" customWidth="1"/>
    <col min="3081" max="3081" width="10.26953125" bestFit="1" customWidth="1"/>
    <col min="3082" max="3082" width="20.453125" customWidth="1"/>
    <col min="3083" max="3083" width="22.54296875" customWidth="1"/>
    <col min="3329" max="3329" width="2.81640625" customWidth="1"/>
    <col min="3331" max="3331" width="12.7265625" bestFit="1" customWidth="1"/>
    <col min="3332" max="3332" width="42.26953125" customWidth="1"/>
    <col min="3335" max="3336" width="8.7265625" bestFit="1" customWidth="1"/>
    <col min="3337" max="3337" width="10.26953125" bestFit="1" customWidth="1"/>
    <col min="3338" max="3338" width="20.453125" customWidth="1"/>
    <col min="3339" max="3339" width="22.54296875" customWidth="1"/>
    <col min="3585" max="3585" width="2.81640625" customWidth="1"/>
    <col min="3587" max="3587" width="12.7265625" bestFit="1" customWidth="1"/>
    <col min="3588" max="3588" width="42.26953125" customWidth="1"/>
    <col min="3591" max="3592" width="8.7265625" bestFit="1" customWidth="1"/>
    <col min="3593" max="3593" width="10.26953125" bestFit="1" customWidth="1"/>
    <col min="3594" max="3594" width="20.453125" customWidth="1"/>
    <col min="3595" max="3595" width="22.54296875" customWidth="1"/>
    <col min="3841" max="3841" width="2.81640625" customWidth="1"/>
    <col min="3843" max="3843" width="12.7265625" bestFit="1" customWidth="1"/>
    <col min="3844" max="3844" width="42.26953125" customWidth="1"/>
    <col min="3847" max="3848" width="8.7265625" bestFit="1" customWidth="1"/>
    <col min="3849" max="3849" width="10.26953125" bestFit="1" customWidth="1"/>
    <col min="3850" max="3850" width="20.453125" customWidth="1"/>
    <col min="3851" max="3851" width="22.54296875" customWidth="1"/>
    <col min="4097" max="4097" width="2.81640625" customWidth="1"/>
    <col min="4099" max="4099" width="12.7265625" bestFit="1" customWidth="1"/>
    <col min="4100" max="4100" width="42.26953125" customWidth="1"/>
    <col min="4103" max="4104" width="8.7265625" bestFit="1" customWidth="1"/>
    <col min="4105" max="4105" width="10.26953125" bestFit="1" customWidth="1"/>
    <col min="4106" max="4106" width="20.453125" customWidth="1"/>
    <col min="4107" max="4107" width="22.54296875" customWidth="1"/>
    <col min="4353" max="4353" width="2.81640625" customWidth="1"/>
    <col min="4355" max="4355" width="12.7265625" bestFit="1" customWidth="1"/>
    <col min="4356" max="4356" width="42.26953125" customWidth="1"/>
    <col min="4359" max="4360" width="8.7265625" bestFit="1" customWidth="1"/>
    <col min="4361" max="4361" width="10.26953125" bestFit="1" customWidth="1"/>
    <col min="4362" max="4362" width="20.453125" customWidth="1"/>
    <col min="4363" max="4363" width="22.54296875" customWidth="1"/>
    <col min="4609" max="4609" width="2.81640625" customWidth="1"/>
    <col min="4611" max="4611" width="12.7265625" bestFit="1" customWidth="1"/>
    <col min="4612" max="4612" width="42.26953125" customWidth="1"/>
    <col min="4615" max="4616" width="8.7265625" bestFit="1" customWidth="1"/>
    <col min="4617" max="4617" width="10.26953125" bestFit="1" customWidth="1"/>
    <col min="4618" max="4618" width="20.453125" customWidth="1"/>
    <col min="4619" max="4619" width="22.54296875" customWidth="1"/>
    <col min="4865" max="4865" width="2.81640625" customWidth="1"/>
    <col min="4867" max="4867" width="12.7265625" bestFit="1" customWidth="1"/>
    <col min="4868" max="4868" width="42.26953125" customWidth="1"/>
    <col min="4871" max="4872" width="8.7265625" bestFit="1" customWidth="1"/>
    <col min="4873" max="4873" width="10.26953125" bestFit="1" customWidth="1"/>
    <col min="4874" max="4874" width="20.453125" customWidth="1"/>
    <col min="4875" max="4875" width="22.54296875" customWidth="1"/>
    <col min="5121" max="5121" width="2.81640625" customWidth="1"/>
    <col min="5123" max="5123" width="12.7265625" bestFit="1" customWidth="1"/>
    <col min="5124" max="5124" width="42.26953125" customWidth="1"/>
    <col min="5127" max="5128" width="8.7265625" bestFit="1" customWidth="1"/>
    <col min="5129" max="5129" width="10.26953125" bestFit="1" customWidth="1"/>
    <col min="5130" max="5130" width="20.453125" customWidth="1"/>
    <col min="5131" max="5131" width="22.54296875" customWidth="1"/>
    <col min="5377" max="5377" width="2.81640625" customWidth="1"/>
    <col min="5379" max="5379" width="12.7265625" bestFit="1" customWidth="1"/>
    <col min="5380" max="5380" width="42.26953125" customWidth="1"/>
    <col min="5383" max="5384" width="8.7265625" bestFit="1" customWidth="1"/>
    <col min="5385" max="5385" width="10.26953125" bestFit="1" customWidth="1"/>
    <col min="5386" max="5386" width="20.453125" customWidth="1"/>
    <col min="5387" max="5387" width="22.54296875" customWidth="1"/>
    <col min="5633" max="5633" width="2.81640625" customWidth="1"/>
    <col min="5635" max="5635" width="12.7265625" bestFit="1" customWidth="1"/>
    <col min="5636" max="5636" width="42.26953125" customWidth="1"/>
    <col min="5639" max="5640" width="8.7265625" bestFit="1" customWidth="1"/>
    <col min="5641" max="5641" width="10.26953125" bestFit="1" customWidth="1"/>
    <col min="5642" max="5642" width="20.453125" customWidth="1"/>
    <col min="5643" max="5643" width="22.54296875" customWidth="1"/>
    <col min="5889" max="5889" width="2.81640625" customWidth="1"/>
    <col min="5891" max="5891" width="12.7265625" bestFit="1" customWidth="1"/>
    <col min="5892" max="5892" width="42.26953125" customWidth="1"/>
    <col min="5895" max="5896" width="8.7265625" bestFit="1" customWidth="1"/>
    <col min="5897" max="5897" width="10.26953125" bestFit="1" customWidth="1"/>
    <col min="5898" max="5898" width="20.453125" customWidth="1"/>
    <col min="5899" max="5899" width="22.54296875" customWidth="1"/>
    <col min="6145" max="6145" width="2.81640625" customWidth="1"/>
    <col min="6147" max="6147" width="12.7265625" bestFit="1" customWidth="1"/>
    <col min="6148" max="6148" width="42.26953125" customWidth="1"/>
    <col min="6151" max="6152" width="8.7265625" bestFit="1" customWidth="1"/>
    <col min="6153" max="6153" width="10.26953125" bestFit="1" customWidth="1"/>
    <col min="6154" max="6154" width="20.453125" customWidth="1"/>
    <col min="6155" max="6155" width="22.54296875" customWidth="1"/>
    <col min="6401" max="6401" width="2.81640625" customWidth="1"/>
    <col min="6403" max="6403" width="12.7265625" bestFit="1" customWidth="1"/>
    <col min="6404" max="6404" width="42.26953125" customWidth="1"/>
    <col min="6407" max="6408" width="8.7265625" bestFit="1" customWidth="1"/>
    <col min="6409" max="6409" width="10.26953125" bestFit="1" customWidth="1"/>
    <col min="6410" max="6410" width="20.453125" customWidth="1"/>
    <col min="6411" max="6411" width="22.54296875" customWidth="1"/>
    <col min="6657" max="6657" width="2.81640625" customWidth="1"/>
    <col min="6659" max="6659" width="12.7265625" bestFit="1" customWidth="1"/>
    <col min="6660" max="6660" width="42.26953125" customWidth="1"/>
    <col min="6663" max="6664" width="8.7265625" bestFit="1" customWidth="1"/>
    <col min="6665" max="6665" width="10.26953125" bestFit="1" customWidth="1"/>
    <col min="6666" max="6666" width="20.453125" customWidth="1"/>
    <col min="6667" max="6667" width="22.54296875" customWidth="1"/>
    <col min="6913" max="6913" width="2.81640625" customWidth="1"/>
    <col min="6915" max="6915" width="12.7265625" bestFit="1" customWidth="1"/>
    <col min="6916" max="6916" width="42.26953125" customWidth="1"/>
    <col min="6919" max="6920" width="8.7265625" bestFit="1" customWidth="1"/>
    <col min="6921" max="6921" width="10.26953125" bestFit="1" customWidth="1"/>
    <col min="6922" max="6922" width="20.453125" customWidth="1"/>
    <col min="6923" max="6923" width="22.54296875" customWidth="1"/>
    <col min="7169" max="7169" width="2.81640625" customWidth="1"/>
    <col min="7171" max="7171" width="12.7265625" bestFit="1" customWidth="1"/>
    <col min="7172" max="7172" width="42.26953125" customWidth="1"/>
    <col min="7175" max="7176" width="8.7265625" bestFit="1" customWidth="1"/>
    <col min="7177" max="7177" width="10.26953125" bestFit="1" customWidth="1"/>
    <col min="7178" max="7178" width="20.453125" customWidth="1"/>
    <col min="7179" max="7179" width="22.54296875" customWidth="1"/>
    <col min="7425" max="7425" width="2.81640625" customWidth="1"/>
    <col min="7427" max="7427" width="12.7265625" bestFit="1" customWidth="1"/>
    <col min="7428" max="7428" width="42.26953125" customWidth="1"/>
    <col min="7431" max="7432" width="8.7265625" bestFit="1" customWidth="1"/>
    <col min="7433" max="7433" width="10.26953125" bestFit="1" customWidth="1"/>
    <col min="7434" max="7434" width="20.453125" customWidth="1"/>
    <col min="7435" max="7435" width="22.54296875" customWidth="1"/>
    <col min="7681" max="7681" width="2.81640625" customWidth="1"/>
    <col min="7683" max="7683" width="12.7265625" bestFit="1" customWidth="1"/>
    <col min="7684" max="7684" width="42.26953125" customWidth="1"/>
    <col min="7687" max="7688" width="8.7265625" bestFit="1" customWidth="1"/>
    <col min="7689" max="7689" width="10.26953125" bestFit="1" customWidth="1"/>
    <col min="7690" max="7690" width="20.453125" customWidth="1"/>
    <col min="7691" max="7691" width="22.54296875" customWidth="1"/>
    <col min="7937" max="7937" width="2.81640625" customWidth="1"/>
    <col min="7939" max="7939" width="12.7265625" bestFit="1" customWidth="1"/>
    <col min="7940" max="7940" width="42.26953125" customWidth="1"/>
    <col min="7943" max="7944" width="8.7265625" bestFit="1" customWidth="1"/>
    <col min="7945" max="7945" width="10.26953125" bestFit="1" customWidth="1"/>
    <col min="7946" max="7946" width="20.453125" customWidth="1"/>
    <col min="7947" max="7947" width="22.54296875" customWidth="1"/>
    <col min="8193" max="8193" width="2.81640625" customWidth="1"/>
    <col min="8195" max="8195" width="12.7265625" bestFit="1" customWidth="1"/>
    <col min="8196" max="8196" width="42.26953125" customWidth="1"/>
    <col min="8199" max="8200" width="8.7265625" bestFit="1" customWidth="1"/>
    <col min="8201" max="8201" width="10.26953125" bestFit="1" customWidth="1"/>
    <col min="8202" max="8202" width="20.453125" customWidth="1"/>
    <col min="8203" max="8203" width="22.54296875" customWidth="1"/>
    <col min="8449" max="8449" width="2.81640625" customWidth="1"/>
    <col min="8451" max="8451" width="12.7265625" bestFit="1" customWidth="1"/>
    <col min="8452" max="8452" width="42.26953125" customWidth="1"/>
    <col min="8455" max="8456" width="8.7265625" bestFit="1" customWidth="1"/>
    <col min="8457" max="8457" width="10.26953125" bestFit="1" customWidth="1"/>
    <col min="8458" max="8458" width="20.453125" customWidth="1"/>
    <col min="8459" max="8459" width="22.54296875" customWidth="1"/>
    <col min="8705" max="8705" width="2.81640625" customWidth="1"/>
    <col min="8707" max="8707" width="12.7265625" bestFit="1" customWidth="1"/>
    <col min="8708" max="8708" width="42.26953125" customWidth="1"/>
    <col min="8711" max="8712" width="8.7265625" bestFit="1" customWidth="1"/>
    <col min="8713" max="8713" width="10.26953125" bestFit="1" customWidth="1"/>
    <col min="8714" max="8714" width="20.453125" customWidth="1"/>
    <col min="8715" max="8715" width="22.54296875" customWidth="1"/>
    <col min="8961" max="8961" width="2.81640625" customWidth="1"/>
    <col min="8963" max="8963" width="12.7265625" bestFit="1" customWidth="1"/>
    <col min="8964" max="8964" width="42.26953125" customWidth="1"/>
    <col min="8967" max="8968" width="8.7265625" bestFit="1" customWidth="1"/>
    <col min="8969" max="8969" width="10.26953125" bestFit="1" customWidth="1"/>
    <col min="8970" max="8970" width="20.453125" customWidth="1"/>
    <col min="8971" max="8971" width="22.54296875" customWidth="1"/>
    <col min="9217" max="9217" width="2.81640625" customWidth="1"/>
    <col min="9219" max="9219" width="12.7265625" bestFit="1" customWidth="1"/>
    <col min="9220" max="9220" width="42.26953125" customWidth="1"/>
    <col min="9223" max="9224" width="8.7265625" bestFit="1" customWidth="1"/>
    <col min="9225" max="9225" width="10.26953125" bestFit="1" customWidth="1"/>
    <col min="9226" max="9226" width="20.453125" customWidth="1"/>
    <col min="9227" max="9227" width="22.54296875" customWidth="1"/>
    <col min="9473" max="9473" width="2.81640625" customWidth="1"/>
    <col min="9475" max="9475" width="12.7265625" bestFit="1" customWidth="1"/>
    <col min="9476" max="9476" width="42.26953125" customWidth="1"/>
    <col min="9479" max="9480" width="8.7265625" bestFit="1" customWidth="1"/>
    <col min="9481" max="9481" width="10.26953125" bestFit="1" customWidth="1"/>
    <col min="9482" max="9482" width="20.453125" customWidth="1"/>
    <col min="9483" max="9483" width="22.54296875" customWidth="1"/>
    <col min="9729" max="9729" width="2.81640625" customWidth="1"/>
    <col min="9731" max="9731" width="12.7265625" bestFit="1" customWidth="1"/>
    <col min="9732" max="9732" width="42.26953125" customWidth="1"/>
    <col min="9735" max="9736" width="8.7265625" bestFit="1" customWidth="1"/>
    <col min="9737" max="9737" width="10.26953125" bestFit="1" customWidth="1"/>
    <col min="9738" max="9738" width="20.453125" customWidth="1"/>
    <col min="9739" max="9739" width="22.54296875" customWidth="1"/>
    <col min="9985" max="9985" width="2.81640625" customWidth="1"/>
    <col min="9987" max="9987" width="12.7265625" bestFit="1" customWidth="1"/>
    <col min="9988" max="9988" width="42.26953125" customWidth="1"/>
    <col min="9991" max="9992" width="8.7265625" bestFit="1" customWidth="1"/>
    <col min="9993" max="9993" width="10.26953125" bestFit="1" customWidth="1"/>
    <col min="9994" max="9994" width="20.453125" customWidth="1"/>
    <col min="9995" max="9995" width="22.54296875" customWidth="1"/>
    <col min="10241" max="10241" width="2.81640625" customWidth="1"/>
    <col min="10243" max="10243" width="12.7265625" bestFit="1" customWidth="1"/>
    <col min="10244" max="10244" width="42.26953125" customWidth="1"/>
    <col min="10247" max="10248" width="8.7265625" bestFit="1" customWidth="1"/>
    <col min="10249" max="10249" width="10.26953125" bestFit="1" customWidth="1"/>
    <col min="10250" max="10250" width="20.453125" customWidth="1"/>
    <col min="10251" max="10251" width="22.54296875" customWidth="1"/>
    <col min="10497" max="10497" width="2.81640625" customWidth="1"/>
    <col min="10499" max="10499" width="12.7265625" bestFit="1" customWidth="1"/>
    <col min="10500" max="10500" width="42.26953125" customWidth="1"/>
    <col min="10503" max="10504" width="8.7265625" bestFit="1" customWidth="1"/>
    <col min="10505" max="10505" width="10.26953125" bestFit="1" customWidth="1"/>
    <col min="10506" max="10506" width="20.453125" customWidth="1"/>
    <col min="10507" max="10507" width="22.54296875" customWidth="1"/>
    <col min="10753" max="10753" width="2.81640625" customWidth="1"/>
    <col min="10755" max="10755" width="12.7265625" bestFit="1" customWidth="1"/>
    <col min="10756" max="10756" width="42.26953125" customWidth="1"/>
    <col min="10759" max="10760" width="8.7265625" bestFit="1" customWidth="1"/>
    <col min="10761" max="10761" width="10.26953125" bestFit="1" customWidth="1"/>
    <col min="10762" max="10762" width="20.453125" customWidth="1"/>
    <col min="10763" max="10763" width="22.54296875" customWidth="1"/>
    <col min="11009" max="11009" width="2.81640625" customWidth="1"/>
    <col min="11011" max="11011" width="12.7265625" bestFit="1" customWidth="1"/>
    <col min="11012" max="11012" width="42.26953125" customWidth="1"/>
    <col min="11015" max="11016" width="8.7265625" bestFit="1" customWidth="1"/>
    <col min="11017" max="11017" width="10.26953125" bestFit="1" customWidth="1"/>
    <col min="11018" max="11018" width="20.453125" customWidth="1"/>
    <col min="11019" max="11019" width="22.54296875" customWidth="1"/>
    <col min="11265" max="11265" width="2.81640625" customWidth="1"/>
    <col min="11267" max="11267" width="12.7265625" bestFit="1" customWidth="1"/>
    <col min="11268" max="11268" width="42.26953125" customWidth="1"/>
    <col min="11271" max="11272" width="8.7265625" bestFit="1" customWidth="1"/>
    <col min="11273" max="11273" width="10.26953125" bestFit="1" customWidth="1"/>
    <col min="11274" max="11274" width="20.453125" customWidth="1"/>
    <col min="11275" max="11275" width="22.54296875" customWidth="1"/>
    <col min="11521" max="11521" width="2.81640625" customWidth="1"/>
    <col min="11523" max="11523" width="12.7265625" bestFit="1" customWidth="1"/>
    <col min="11524" max="11524" width="42.26953125" customWidth="1"/>
    <col min="11527" max="11528" width="8.7265625" bestFit="1" customWidth="1"/>
    <col min="11529" max="11529" width="10.26953125" bestFit="1" customWidth="1"/>
    <col min="11530" max="11530" width="20.453125" customWidth="1"/>
    <col min="11531" max="11531" width="22.54296875" customWidth="1"/>
    <col min="11777" max="11777" width="2.81640625" customWidth="1"/>
    <col min="11779" max="11779" width="12.7265625" bestFit="1" customWidth="1"/>
    <col min="11780" max="11780" width="42.26953125" customWidth="1"/>
    <col min="11783" max="11784" width="8.7265625" bestFit="1" customWidth="1"/>
    <col min="11785" max="11785" width="10.26953125" bestFit="1" customWidth="1"/>
    <col min="11786" max="11786" width="20.453125" customWidth="1"/>
    <col min="11787" max="11787" width="22.54296875" customWidth="1"/>
    <col min="12033" max="12033" width="2.81640625" customWidth="1"/>
    <col min="12035" max="12035" width="12.7265625" bestFit="1" customWidth="1"/>
    <col min="12036" max="12036" width="42.26953125" customWidth="1"/>
    <col min="12039" max="12040" width="8.7265625" bestFit="1" customWidth="1"/>
    <col min="12041" max="12041" width="10.26953125" bestFit="1" customWidth="1"/>
    <col min="12042" max="12042" width="20.453125" customWidth="1"/>
    <col min="12043" max="12043" width="22.54296875" customWidth="1"/>
    <col min="12289" max="12289" width="2.81640625" customWidth="1"/>
    <col min="12291" max="12291" width="12.7265625" bestFit="1" customWidth="1"/>
    <col min="12292" max="12292" width="42.26953125" customWidth="1"/>
    <col min="12295" max="12296" width="8.7265625" bestFit="1" customWidth="1"/>
    <col min="12297" max="12297" width="10.26953125" bestFit="1" customWidth="1"/>
    <col min="12298" max="12298" width="20.453125" customWidth="1"/>
    <col min="12299" max="12299" width="22.54296875" customWidth="1"/>
    <col min="12545" max="12545" width="2.81640625" customWidth="1"/>
    <col min="12547" max="12547" width="12.7265625" bestFit="1" customWidth="1"/>
    <col min="12548" max="12548" width="42.26953125" customWidth="1"/>
    <col min="12551" max="12552" width="8.7265625" bestFit="1" customWidth="1"/>
    <col min="12553" max="12553" width="10.26953125" bestFit="1" customWidth="1"/>
    <col min="12554" max="12554" width="20.453125" customWidth="1"/>
    <col min="12555" max="12555" width="22.54296875" customWidth="1"/>
    <col min="12801" max="12801" width="2.81640625" customWidth="1"/>
    <col min="12803" max="12803" width="12.7265625" bestFit="1" customWidth="1"/>
    <col min="12804" max="12804" width="42.26953125" customWidth="1"/>
    <col min="12807" max="12808" width="8.7265625" bestFit="1" customWidth="1"/>
    <col min="12809" max="12809" width="10.26953125" bestFit="1" customWidth="1"/>
    <col min="12810" max="12810" width="20.453125" customWidth="1"/>
    <col min="12811" max="12811" width="22.54296875" customWidth="1"/>
    <col min="13057" max="13057" width="2.81640625" customWidth="1"/>
    <col min="13059" max="13059" width="12.7265625" bestFit="1" customWidth="1"/>
    <col min="13060" max="13060" width="42.26953125" customWidth="1"/>
    <col min="13063" max="13064" width="8.7265625" bestFit="1" customWidth="1"/>
    <col min="13065" max="13065" width="10.26953125" bestFit="1" customWidth="1"/>
    <col min="13066" max="13066" width="20.453125" customWidth="1"/>
    <col min="13067" max="13067" width="22.54296875" customWidth="1"/>
    <col min="13313" max="13313" width="2.81640625" customWidth="1"/>
    <col min="13315" max="13315" width="12.7265625" bestFit="1" customWidth="1"/>
    <col min="13316" max="13316" width="42.26953125" customWidth="1"/>
    <col min="13319" max="13320" width="8.7265625" bestFit="1" customWidth="1"/>
    <col min="13321" max="13321" width="10.26953125" bestFit="1" customWidth="1"/>
    <col min="13322" max="13322" width="20.453125" customWidth="1"/>
    <col min="13323" max="13323" width="22.54296875" customWidth="1"/>
    <col min="13569" max="13569" width="2.81640625" customWidth="1"/>
    <col min="13571" max="13571" width="12.7265625" bestFit="1" customWidth="1"/>
    <col min="13572" max="13572" width="42.26953125" customWidth="1"/>
    <col min="13575" max="13576" width="8.7265625" bestFit="1" customWidth="1"/>
    <col min="13577" max="13577" width="10.26953125" bestFit="1" customWidth="1"/>
    <col min="13578" max="13578" width="20.453125" customWidth="1"/>
    <col min="13579" max="13579" width="22.54296875" customWidth="1"/>
    <col min="13825" max="13825" width="2.81640625" customWidth="1"/>
    <col min="13827" max="13827" width="12.7265625" bestFit="1" customWidth="1"/>
    <col min="13828" max="13828" width="42.26953125" customWidth="1"/>
    <col min="13831" max="13832" width="8.7265625" bestFit="1" customWidth="1"/>
    <col min="13833" max="13833" width="10.26953125" bestFit="1" customWidth="1"/>
    <col min="13834" max="13834" width="20.453125" customWidth="1"/>
    <col min="13835" max="13835" width="22.54296875" customWidth="1"/>
    <col min="14081" max="14081" width="2.81640625" customWidth="1"/>
    <col min="14083" max="14083" width="12.7265625" bestFit="1" customWidth="1"/>
    <col min="14084" max="14084" width="42.26953125" customWidth="1"/>
    <col min="14087" max="14088" width="8.7265625" bestFit="1" customWidth="1"/>
    <col min="14089" max="14089" width="10.26953125" bestFit="1" customWidth="1"/>
    <col min="14090" max="14090" width="20.453125" customWidth="1"/>
    <col min="14091" max="14091" width="22.54296875" customWidth="1"/>
    <col min="14337" max="14337" width="2.81640625" customWidth="1"/>
    <col min="14339" max="14339" width="12.7265625" bestFit="1" customWidth="1"/>
    <col min="14340" max="14340" width="42.26953125" customWidth="1"/>
    <col min="14343" max="14344" width="8.7265625" bestFit="1" customWidth="1"/>
    <col min="14345" max="14345" width="10.26953125" bestFit="1" customWidth="1"/>
    <col min="14346" max="14346" width="20.453125" customWidth="1"/>
    <col min="14347" max="14347" width="22.54296875" customWidth="1"/>
    <col min="14593" max="14593" width="2.81640625" customWidth="1"/>
    <col min="14595" max="14595" width="12.7265625" bestFit="1" customWidth="1"/>
    <col min="14596" max="14596" width="42.26953125" customWidth="1"/>
    <col min="14599" max="14600" width="8.7265625" bestFit="1" customWidth="1"/>
    <col min="14601" max="14601" width="10.26953125" bestFit="1" customWidth="1"/>
    <col min="14602" max="14602" width="20.453125" customWidth="1"/>
    <col min="14603" max="14603" width="22.54296875" customWidth="1"/>
    <col min="14849" max="14849" width="2.81640625" customWidth="1"/>
    <col min="14851" max="14851" width="12.7265625" bestFit="1" customWidth="1"/>
    <col min="14852" max="14852" width="42.26953125" customWidth="1"/>
    <col min="14855" max="14856" width="8.7265625" bestFit="1" customWidth="1"/>
    <col min="14857" max="14857" width="10.26953125" bestFit="1" customWidth="1"/>
    <col min="14858" max="14858" width="20.453125" customWidth="1"/>
    <col min="14859" max="14859" width="22.54296875" customWidth="1"/>
    <col min="15105" max="15105" width="2.81640625" customWidth="1"/>
    <col min="15107" max="15107" width="12.7265625" bestFit="1" customWidth="1"/>
    <col min="15108" max="15108" width="42.26953125" customWidth="1"/>
    <col min="15111" max="15112" width="8.7265625" bestFit="1" customWidth="1"/>
    <col min="15113" max="15113" width="10.26953125" bestFit="1" customWidth="1"/>
    <col min="15114" max="15114" width="20.453125" customWidth="1"/>
    <col min="15115" max="15115" width="22.54296875" customWidth="1"/>
    <col min="15361" max="15361" width="2.81640625" customWidth="1"/>
    <col min="15363" max="15363" width="12.7265625" bestFit="1" customWidth="1"/>
    <col min="15364" max="15364" width="42.26953125" customWidth="1"/>
    <col min="15367" max="15368" width="8.7265625" bestFit="1" customWidth="1"/>
    <col min="15369" max="15369" width="10.26953125" bestFit="1" customWidth="1"/>
    <col min="15370" max="15370" width="20.453125" customWidth="1"/>
    <col min="15371" max="15371" width="22.54296875" customWidth="1"/>
    <col min="15617" max="15617" width="2.81640625" customWidth="1"/>
    <col min="15619" max="15619" width="12.7265625" bestFit="1" customWidth="1"/>
    <col min="15620" max="15620" width="42.26953125" customWidth="1"/>
    <col min="15623" max="15624" width="8.7265625" bestFit="1" customWidth="1"/>
    <col min="15625" max="15625" width="10.26953125" bestFit="1" customWidth="1"/>
    <col min="15626" max="15626" width="20.453125" customWidth="1"/>
    <col min="15627" max="15627" width="22.54296875" customWidth="1"/>
    <col min="15873" max="15873" width="2.81640625" customWidth="1"/>
    <col min="15875" max="15875" width="12.7265625" bestFit="1" customWidth="1"/>
    <col min="15876" max="15876" width="42.26953125" customWidth="1"/>
    <col min="15879" max="15880" width="8.7265625" bestFit="1" customWidth="1"/>
    <col min="15881" max="15881" width="10.26953125" bestFit="1" customWidth="1"/>
    <col min="15882" max="15882" width="20.453125" customWidth="1"/>
    <col min="15883" max="15883" width="22.54296875" customWidth="1"/>
    <col min="16129" max="16129" width="2.81640625" customWidth="1"/>
    <col min="16131" max="16131" width="12.7265625" bestFit="1" customWidth="1"/>
    <col min="16132" max="16132" width="42.26953125" customWidth="1"/>
    <col min="16135" max="16136" width="8.7265625" bestFit="1" customWidth="1"/>
    <col min="16137" max="16137" width="10.26953125" bestFit="1" customWidth="1"/>
    <col min="16138" max="16138" width="20.453125" customWidth="1"/>
    <col min="16139" max="16139" width="22.54296875" customWidth="1"/>
  </cols>
  <sheetData>
    <row r="1" spans="1:14" ht="23.25" customHeight="1" x14ac:dyDescent="0.4">
      <c r="A1" s="36" t="s">
        <v>69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4" ht="23.25" customHeight="1" x14ac:dyDescent="0.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4" ht="18" customHeight="1" thickBot="1" x14ac:dyDescent="0.4">
      <c r="A3" s="37" t="s">
        <v>70</v>
      </c>
      <c r="B3" s="37"/>
      <c r="C3" s="37"/>
      <c r="D3" s="28"/>
      <c r="E3" s="29"/>
      <c r="F3" s="29"/>
      <c r="G3" s="30"/>
      <c r="H3" s="30"/>
      <c r="I3" s="30"/>
      <c r="J3" s="30"/>
      <c r="K3" s="30"/>
    </row>
    <row r="4" spans="1:14" ht="18.75" customHeight="1" thickBot="1" x14ac:dyDescent="0.4">
      <c r="A4" s="31" t="s">
        <v>71</v>
      </c>
      <c r="B4" s="32"/>
      <c r="C4" s="33"/>
      <c r="D4" s="33"/>
      <c r="E4" s="29"/>
      <c r="F4" s="29"/>
      <c r="G4" s="30"/>
      <c r="H4" s="34"/>
      <c r="I4" s="35"/>
      <c r="J4" s="35"/>
      <c r="K4" s="35"/>
      <c r="M4" s="38" t="s">
        <v>44</v>
      </c>
      <c r="N4" s="40" t="s">
        <v>45</v>
      </c>
    </row>
    <row r="5" spans="1:14" ht="44.5" customHeight="1" thickBot="1" x14ac:dyDescent="0.4">
      <c r="A5" s="15" t="s">
        <v>0</v>
      </c>
      <c r="B5" s="16" t="s">
        <v>1</v>
      </c>
      <c r="C5" s="16" t="s">
        <v>2</v>
      </c>
      <c r="D5" s="16" t="s">
        <v>51</v>
      </c>
      <c r="E5" s="16" t="s">
        <v>3</v>
      </c>
      <c r="F5" s="16" t="s">
        <v>63</v>
      </c>
      <c r="G5" s="16" t="s">
        <v>64</v>
      </c>
      <c r="H5" s="17" t="s">
        <v>4</v>
      </c>
      <c r="I5" s="1" t="s">
        <v>5</v>
      </c>
      <c r="J5" s="1" t="s">
        <v>6</v>
      </c>
      <c r="K5" s="1" t="s">
        <v>7</v>
      </c>
      <c r="M5" s="39"/>
      <c r="N5" s="41"/>
    </row>
    <row r="6" spans="1:14" ht="21.75" customHeight="1" x14ac:dyDescent="0.35">
      <c r="A6" s="22">
        <v>1</v>
      </c>
      <c r="B6" s="2" t="s">
        <v>8</v>
      </c>
      <c r="C6" s="3" t="s">
        <v>56</v>
      </c>
      <c r="D6" s="3" t="s">
        <v>53</v>
      </c>
      <c r="E6" s="13">
        <v>2</v>
      </c>
      <c r="F6" s="24">
        <v>22</v>
      </c>
      <c r="G6" s="26">
        <f t="shared" ref="G6:G13" si="0">SUM(E6:F6)</f>
        <v>24</v>
      </c>
      <c r="H6" s="18">
        <v>1500</v>
      </c>
      <c r="I6" s="4">
        <f t="shared" ref="I6" si="1">G6*H6</f>
        <v>36000</v>
      </c>
      <c r="J6" s="5" t="s">
        <v>9</v>
      </c>
      <c r="K6" s="6" t="s">
        <v>10</v>
      </c>
    </row>
    <row r="7" spans="1:14" ht="21.75" customHeight="1" x14ac:dyDescent="0.35">
      <c r="A7" s="23">
        <v>2</v>
      </c>
      <c r="B7" s="2" t="s">
        <v>8</v>
      </c>
      <c r="C7" s="3" t="s">
        <v>55</v>
      </c>
      <c r="D7" s="3" t="s">
        <v>53</v>
      </c>
      <c r="E7" s="13">
        <v>2</v>
      </c>
      <c r="F7" s="24">
        <v>22</v>
      </c>
      <c r="G7" s="26">
        <f t="shared" si="0"/>
        <v>24</v>
      </c>
      <c r="H7" s="18"/>
      <c r="I7" s="4"/>
      <c r="J7" s="5"/>
      <c r="K7" s="6"/>
    </row>
    <row r="8" spans="1:14" ht="21.75" customHeight="1" x14ac:dyDescent="0.35">
      <c r="A8" s="22">
        <v>3</v>
      </c>
      <c r="B8" s="2" t="s">
        <v>8</v>
      </c>
      <c r="C8" s="3" t="s">
        <v>65</v>
      </c>
      <c r="D8" s="8" t="s">
        <v>52</v>
      </c>
      <c r="E8" s="13"/>
      <c r="F8" s="24">
        <v>2</v>
      </c>
      <c r="G8" s="26">
        <f t="shared" si="0"/>
        <v>2</v>
      </c>
      <c r="H8" s="18"/>
      <c r="I8" s="4"/>
      <c r="J8" s="5"/>
      <c r="K8" s="6"/>
    </row>
    <row r="9" spans="1:14" ht="21.75" customHeight="1" x14ac:dyDescent="0.35">
      <c r="A9" s="23">
        <v>4</v>
      </c>
      <c r="B9" s="2" t="s">
        <v>8</v>
      </c>
      <c r="C9" s="8" t="s">
        <v>11</v>
      </c>
      <c r="D9" s="8" t="s">
        <v>52</v>
      </c>
      <c r="E9" s="14"/>
      <c r="F9" s="25">
        <v>1</v>
      </c>
      <c r="G9" s="26">
        <f t="shared" si="0"/>
        <v>1</v>
      </c>
      <c r="H9" s="19">
        <v>8500</v>
      </c>
      <c r="I9" s="4">
        <f t="shared" ref="I9:I35" si="2">H9*G9</f>
        <v>8500</v>
      </c>
      <c r="J9" s="5" t="s">
        <v>12</v>
      </c>
      <c r="K9" s="7" t="s">
        <v>13</v>
      </c>
    </row>
    <row r="10" spans="1:14" ht="21.75" customHeight="1" x14ac:dyDescent="0.35">
      <c r="A10" s="22">
        <v>5</v>
      </c>
      <c r="B10" s="2" t="s">
        <v>8</v>
      </c>
      <c r="C10" s="8" t="s">
        <v>15</v>
      </c>
      <c r="D10" s="8" t="s">
        <v>20</v>
      </c>
      <c r="E10" s="14"/>
      <c r="F10" s="25">
        <v>2</v>
      </c>
      <c r="G10" s="26">
        <f t="shared" si="0"/>
        <v>2</v>
      </c>
      <c r="H10" s="19">
        <v>500</v>
      </c>
      <c r="I10" s="4">
        <f t="shared" si="2"/>
        <v>1000</v>
      </c>
      <c r="J10" s="5" t="s">
        <v>16</v>
      </c>
      <c r="K10" s="7"/>
    </row>
    <row r="11" spans="1:14" ht="21.75" customHeight="1" x14ac:dyDescent="0.35">
      <c r="A11" s="23">
        <v>6</v>
      </c>
      <c r="B11" s="2" t="s">
        <v>8</v>
      </c>
      <c r="C11" s="8" t="s">
        <v>17</v>
      </c>
      <c r="D11" s="8" t="s">
        <v>53</v>
      </c>
      <c r="E11" s="14"/>
      <c r="F11" s="25">
        <v>1</v>
      </c>
      <c r="G11" s="26">
        <f t="shared" si="0"/>
        <v>1</v>
      </c>
      <c r="H11" s="19">
        <v>750</v>
      </c>
      <c r="I11" s="4">
        <f t="shared" si="2"/>
        <v>750</v>
      </c>
      <c r="J11" s="9" t="s">
        <v>18</v>
      </c>
      <c r="K11" s="7" t="s">
        <v>19</v>
      </c>
    </row>
    <row r="12" spans="1:14" ht="21.75" customHeight="1" x14ac:dyDescent="0.35">
      <c r="A12" s="22">
        <v>7</v>
      </c>
      <c r="B12" s="2" t="s">
        <v>8</v>
      </c>
      <c r="C12" s="8" t="s">
        <v>68</v>
      </c>
      <c r="D12" s="8" t="s">
        <v>53</v>
      </c>
      <c r="E12" s="14"/>
      <c r="F12" s="25">
        <v>3</v>
      </c>
      <c r="G12" s="26">
        <f t="shared" si="0"/>
        <v>3</v>
      </c>
      <c r="H12" s="19"/>
      <c r="I12" s="4"/>
      <c r="J12" s="9"/>
      <c r="K12" s="7"/>
    </row>
    <row r="13" spans="1:14" ht="21.75" customHeight="1" x14ac:dyDescent="0.35">
      <c r="A13" s="23">
        <v>8</v>
      </c>
      <c r="B13" s="2" t="s">
        <v>8</v>
      </c>
      <c r="C13" s="8" t="s">
        <v>58</v>
      </c>
      <c r="D13" s="8" t="s">
        <v>53</v>
      </c>
      <c r="E13" s="14"/>
      <c r="F13" s="25">
        <v>2</v>
      </c>
      <c r="G13" s="26">
        <f t="shared" si="0"/>
        <v>2</v>
      </c>
      <c r="H13" s="19">
        <v>2250</v>
      </c>
      <c r="I13" s="4">
        <f t="shared" si="2"/>
        <v>4500</v>
      </c>
      <c r="J13" s="5" t="s">
        <v>9</v>
      </c>
      <c r="K13" s="10">
        <v>7440</v>
      </c>
    </row>
    <row r="14" spans="1:14" ht="21.75" customHeight="1" x14ac:dyDescent="0.35">
      <c r="A14" s="22">
        <v>9</v>
      </c>
      <c r="B14" s="2" t="s">
        <v>21</v>
      </c>
      <c r="C14" s="8" t="s">
        <v>48</v>
      </c>
      <c r="D14" s="8" t="s">
        <v>53</v>
      </c>
      <c r="E14" s="14"/>
      <c r="F14" s="25">
        <v>1</v>
      </c>
      <c r="G14" s="26"/>
      <c r="H14" s="21">
        <v>7800</v>
      </c>
      <c r="I14" s="11">
        <f t="shared" si="2"/>
        <v>0</v>
      </c>
      <c r="J14" s="5" t="s">
        <v>22</v>
      </c>
      <c r="K14" s="7"/>
    </row>
    <row r="15" spans="1:14" ht="21.75" customHeight="1" x14ac:dyDescent="0.35">
      <c r="A15" s="23">
        <v>10</v>
      </c>
      <c r="B15" s="2" t="s">
        <v>21</v>
      </c>
      <c r="C15" s="8" t="s">
        <v>49</v>
      </c>
      <c r="D15" s="8" t="s">
        <v>53</v>
      </c>
      <c r="E15" s="14"/>
      <c r="F15" s="25">
        <v>2</v>
      </c>
      <c r="G15" s="26">
        <f t="shared" ref="G15:G26" si="3">SUM(E15:F15)</f>
        <v>2</v>
      </c>
      <c r="H15" s="21">
        <v>5500</v>
      </c>
      <c r="I15" s="11">
        <f t="shared" si="2"/>
        <v>11000</v>
      </c>
      <c r="J15" s="5" t="s">
        <v>23</v>
      </c>
      <c r="K15" s="7"/>
    </row>
    <row r="16" spans="1:14" ht="21.75" customHeight="1" x14ac:dyDescent="0.35">
      <c r="A16" s="22">
        <v>11</v>
      </c>
      <c r="B16" s="2" t="s">
        <v>21</v>
      </c>
      <c r="C16" s="8" t="s">
        <v>57</v>
      </c>
      <c r="D16" s="8" t="s">
        <v>53</v>
      </c>
      <c r="E16" s="14"/>
      <c r="F16" s="25">
        <v>24</v>
      </c>
      <c r="G16" s="26">
        <f t="shared" si="3"/>
        <v>24</v>
      </c>
      <c r="H16" s="21"/>
      <c r="I16" s="11"/>
      <c r="J16" s="5"/>
      <c r="K16" s="7"/>
    </row>
    <row r="17" spans="1:11" ht="24" customHeight="1" x14ac:dyDescent="0.35">
      <c r="A17" s="23">
        <v>12</v>
      </c>
      <c r="B17" s="2" t="s">
        <v>21</v>
      </c>
      <c r="C17" s="8" t="s">
        <v>54</v>
      </c>
      <c r="D17" s="8" t="s">
        <v>53</v>
      </c>
      <c r="E17" s="14"/>
      <c r="F17" s="25">
        <v>10</v>
      </c>
      <c r="G17" s="26">
        <f t="shared" si="3"/>
        <v>10</v>
      </c>
      <c r="H17" s="21"/>
      <c r="I17" s="11"/>
      <c r="J17" s="5"/>
      <c r="K17" s="7"/>
    </row>
    <row r="18" spans="1:11" ht="21.75" customHeight="1" x14ac:dyDescent="0.35">
      <c r="A18" s="22">
        <v>13</v>
      </c>
      <c r="B18" s="2" t="s">
        <v>21</v>
      </c>
      <c r="C18" s="8" t="s">
        <v>50</v>
      </c>
      <c r="D18" s="8"/>
      <c r="E18" s="14"/>
      <c r="F18" s="25">
        <v>4</v>
      </c>
      <c r="G18" s="26">
        <f t="shared" si="3"/>
        <v>4</v>
      </c>
      <c r="H18" s="21">
        <f>650*25</f>
        <v>16250</v>
      </c>
      <c r="I18" s="11">
        <f t="shared" si="2"/>
        <v>65000</v>
      </c>
      <c r="J18" s="5" t="s">
        <v>24</v>
      </c>
      <c r="K18" s="7"/>
    </row>
    <row r="19" spans="1:11" ht="21.75" customHeight="1" x14ac:dyDescent="0.35">
      <c r="A19" s="23">
        <v>14</v>
      </c>
      <c r="B19" s="2" t="s">
        <v>21</v>
      </c>
      <c r="C19" s="8" t="s">
        <v>25</v>
      </c>
      <c r="D19" s="8"/>
      <c r="E19" s="14"/>
      <c r="F19" s="25">
        <v>2</v>
      </c>
      <c r="G19" s="26">
        <f t="shared" si="3"/>
        <v>2</v>
      </c>
      <c r="H19" s="21">
        <v>32000</v>
      </c>
      <c r="I19" s="11">
        <f t="shared" si="2"/>
        <v>64000</v>
      </c>
      <c r="J19" s="5" t="s">
        <v>26</v>
      </c>
      <c r="K19" s="7" t="s">
        <v>27</v>
      </c>
    </row>
    <row r="20" spans="1:11" ht="21.75" customHeight="1" x14ac:dyDescent="0.35">
      <c r="A20" s="22">
        <v>15</v>
      </c>
      <c r="B20" s="2" t="s">
        <v>21</v>
      </c>
      <c r="C20" s="8" t="s">
        <v>59</v>
      </c>
      <c r="D20" s="8" t="s">
        <v>60</v>
      </c>
      <c r="E20" s="14"/>
      <c r="F20" s="25">
        <v>8</v>
      </c>
      <c r="G20" s="26">
        <f t="shared" si="3"/>
        <v>8</v>
      </c>
      <c r="H20" s="21">
        <v>1000</v>
      </c>
      <c r="I20" s="11">
        <f t="shared" si="2"/>
        <v>8000</v>
      </c>
      <c r="J20" s="5" t="s">
        <v>28</v>
      </c>
      <c r="K20" s="7"/>
    </row>
    <row r="21" spans="1:11" ht="21.75" customHeight="1" x14ac:dyDescent="0.35">
      <c r="A21" s="23">
        <v>16</v>
      </c>
      <c r="B21" s="2" t="s">
        <v>21</v>
      </c>
      <c r="C21" s="8" t="s">
        <v>47</v>
      </c>
      <c r="D21" s="8" t="s">
        <v>52</v>
      </c>
      <c r="E21" s="14"/>
      <c r="F21" s="25">
        <v>4</v>
      </c>
      <c r="G21" s="26">
        <f t="shared" si="3"/>
        <v>4</v>
      </c>
      <c r="H21" s="21"/>
      <c r="I21" s="11"/>
      <c r="J21" s="5"/>
      <c r="K21" s="7"/>
    </row>
    <row r="22" spans="1:11" ht="21.75" customHeight="1" x14ac:dyDescent="0.35">
      <c r="A22" s="22">
        <v>17</v>
      </c>
      <c r="B22" s="2" t="s">
        <v>21</v>
      </c>
      <c r="C22" s="8" t="s">
        <v>66</v>
      </c>
      <c r="D22" s="8" t="s">
        <v>52</v>
      </c>
      <c r="E22" s="14"/>
      <c r="F22" s="25">
        <v>2</v>
      </c>
      <c r="G22" s="26">
        <f t="shared" si="3"/>
        <v>2</v>
      </c>
      <c r="H22" s="21"/>
      <c r="I22" s="11"/>
      <c r="J22" s="5"/>
      <c r="K22" s="7"/>
    </row>
    <row r="23" spans="1:11" ht="21.75" customHeight="1" x14ac:dyDescent="0.35">
      <c r="A23" s="23">
        <v>18</v>
      </c>
      <c r="B23" s="2" t="s">
        <v>21</v>
      </c>
      <c r="C23" s="8" t="s">
        <v>67</v>
      </c>
      <c r="D23" s="8"/>
      <c r="E23" s="14"/>
      <c r="F23" s="25">
        <v>1</v>
      </c>
      <c r="G23" s="26">
        <f t="shared" si="3"/>
        <v>1</v>
      </c>
      <c r="H23" s="21"/>
      <c r="I23" s="11"/>
      <c r="J23" s="5"/>
      <c r="K23" s="7"/>
    </row>
    <row r="24" spans="1:11" ht="21.75" customHeight="1" x14ac:dyDescent="0.35">
      <c r="A24" s="22">
        <v>19</v>
      </c>
      <c r="B24" s="2" t="s">
        <v>21</v>
      </c>
      <c r="C24" s="8" t="s">
        <v>29</v>
      </c>
      <c r="D24" s="8" t="s">
        <v>60</v>
      </c>
      <c r="E24" s="14"/>
      <c r="F24" s="25">
        <v>4</v>
      </c>
      <c r="G24" s="26">
        <f t="shared" si="3"/>
        <v>4</v>
      </c>
      <c r="H24" s="21">
        <v>3300</v>
      </c>
      <c r="I24" s="11">
        <f t="shared" si="2"/>
        <v>13200</v>
      </c>
      <c r="J24" s="5" t="s">
        <v>14</v>
      </c>
      <c r="K24" s="7"/>
    </row>
    <row r="25" spans="1:11" ht="21.75" customHeight="1" x14ac:dyDescent="0.35">
      <c r="A25" s="23">
        <v>20</v>
      </c>
      <c r="B25" s="2" t="s">
        <v>21</v>
      </c>
      <c r="C25" s="8" t="s">
        <v>62</v>
      </c>
      <c r="D25" s="8" t="s">
        <v>53</v>
      </c>
      <c r="E25" s="14"/>
      <c r="F25" s="25">
        <v>1</v>
      </c>
      <c r="G25" s="26">
        <f t="shared" si="3"/>
        <v>1</v>
      </c>
      <c r="H25" s="21">
        <v>5250</v>
      </c>
      <c r="I25" s="11">
        <f t="shared" si="2"/>
        <v>5250</v>
      </c>
      <c r="J25" s="5" t="s">
        <v>14</v>
      </c>
      <c r="K25" s="7"/>
    </row>
    <row r="26" spans="1:11" ht="21.75" customHeight="1" x14ac:dyDescent="0.35">
      <c r="A26" s="22">
        <v>21</v>
      </c>
      <c r="B26" s="2" t="s">
        <v>21</v>
      </c>
      <c r="C26" s="8" t="s">
        <v>61</v>
      </c>
      <c r="D26" s="8" t="s">
        <v>53</v>
      </c>
      <c r="E26" s="14"/>
      <c r="F26" s="25">
        <v>1</v>
      </c>
      <c r="G26" s="26">
        <f t="shared" si="3"/>
        <v>1</v>
      </c>
      <c r="H26" s="21"/>
      <c r="I26" s="11"/>
      <c r="J26" s="5"/>
      <c r="K26" s="7"/>
    </row>
    <row r="27" spans="1:11" ht="21.75" customHeight="1" x14ac:dyDescent="0.35">
      <c r="A27" s="23">
        <v>22</v>
      </c>
      <c r="B27" s="2" t="s">
        <v>21</v>
      </c>
      <c r="C27" s="8" t="s">
        <v>30</v>
      </c>
      <c r="D27" s="8" t="s">
        <v>20</v>
      </c>
      <c r="E27" s="14"/>
      <c r="F27" s="25">
        <v>10</v>
      </c>
      <c r="G27" s="26">
        <f t="shared" ref="G27:G35" si="4">SUM(E27:F27)</f>
        <v>10</v>
      </c>
      <c r="H27" s="21">
        <v>140</v>
      </c>
      <c r="I27" s="11">
        <f t="shared" si="2"/>
        <v>1400</v>
      </c>
      <c r="J27" s="5" t="s">
        <v>31</v>
      </c>
      <c r="K27" s="7"/>
    </row>
    <row r="28" spans="1:11" ht="21.75" customHeight="1" x14ac:dyDescent="0.35">
      <c r="A28" s="22">
        <v>23</v>
      </c>
      <c r="B28" s="2" t="s">
        <v>21</v>
      </c>
      <c r="C28" s="8" t="s">
        <v>32</v>
      </c>
      <c r="D28" s="8"/>
      <c r="E28" s="14"/>
      <c r="F28" s="25">
        <v>4</v>
      </c>
      <c r="G28" s="26">
        <f t="shared" si="4"/>
        <v>4</v>
      </c>
      <c r="H28" s="21">
        <v>1100</v>
      </c>
      <c r="I28" s="11">
        <f t="shared" si="2"/>
        <v>4400</v>
      </c>
      <c r="J28" s="5" t="s">
        <v>33</v>
      </c>
      <c r="K28" s="7" t="s">
        <v>34</v>
      </c>
    </row>
    <row r="29" spans="1:11" ht="21.75" customHeight="1" x14ac:dyDescent="0.35">
      <c r="A29" s="23">
        <v>24</v>
      </c>
      <c r="B29" s="2" t="s">
        <v>21</v>
      </c>
      <c r="C29" s="8" t="s">
        <v>35</v>
      </c>
      <c r="D29" s="8" t="s">
        <v>20</v>
      </c>
      <c r="E29" s="14"/>
      <c r="F29" s="25">
        <v>12</v>
      </c>
      <c r="G29" s="26">
        <f t="shared" si="4"/>
        <v>12</v>
      </c>
      <c r="H29" s="21">
        <v>55</v>
      </c>
      <c r="I29" s="11">
        <f t="shared" si="2"/>
        <v>660</v>
      </c>
      <c r="J29" s="5" t="s">
        <v>20</v>
      </c>
      <c r="K29" s="7"/>
    </row>
    <row r="30" spans="1:11" ht="21.75" customHeight="1" x14ac:dyDescent="0.35">
      <c r="A30" s="22">
        <v>25</v>
      </c>
      <c r="B30" s="2" t="s">
        <v>21</v>
      </c>
      <c r="C30" s="8" t="s">
        <v>43</v>
      </c>
      <c r="D30" s="8" t="s">
        <v>53</v>
      </c>
      <c r="E30" s="14">
        <v>1</v>
      </c>
      <c r="F30" s="25"/>
      <c r="G30" s="26">
        <f t="shared" si="4"/>
        <v>1</v>
      </c>
      <c r="H30" s="21"/>
      <c r="I30" s="11"/>
      <c r="J30" s="5"/>
      <c r="K30" s="7"/>
    </row>
    <row r="31" spans="1:11" ht="21.75" customHeight="1" x14ac:dyDescent="0.35">
      <c r="A31" s="23">
        <v>26</v>
      </c>
      <c r="B31" s="2" t="s">
        <v>36</v>
      </c>
      <c r="C31" s="8" t="s">
        <v>37</v>
      </c>
      <c r="D31" s="8" t="s">
        <v>20</v>
      </c>
      <c r="E31" s="14">
        <v>1</v>
      </c>
      <c r="F31" s="25"/>
      <c r="G31" s="26">
        <f t="shared" si="4"/>
        <v>1</v>
      </c>
      <c r="H31" s="20">
        <v>550</v>
      </c>
      <c r="I31" s="11">
        <f t="shared" si="2"/>
        <v>550</v>
      </c>
      <c r="J31" s="5" t="s">
        <v>20</v>
      </c>
      <c r="K31" s="7"/>
    </row>
    <row r="32" spans="1:11" ht="21.75" customHeight="1" x14ac:dyDescent="0.35">
      <c r="A32" s="22">
        <v>27</v>
      </c>
      <c r="B32" s="2" t="s">
        <v>36</v>
      </c>
      <c r="C32" s="8" t="s">
        <v>38</v>
      </c>
      <c r="D32" s="8" t="s">
        <v>20</v>
      </c>
      <c r="E32" s="14">
        <v>2</v>
      </c>
      <c r="F32" s="25"/>
      <c r="G32" s="26">
        <f t="shared" si="4"/>
        <v>2</v>
      </c>
      <c r="H32" s="20">
        <v>1500</v>
      </c>
      <c r="I32" s="11">
        <f t="shared" si="2"/>
        <v>3000</v>
      </c>
      <c r="J32" s="5" t="s">
        <v>20</v>
      </c>
      <c r="K32" s="7"/>
    </row>
    <row r="33" spans="1:11" ht="21.75" customHeight="1" x14ac:dyDescent="0.35">
      <c r="A33" s="23">
        <v>28</v>
      </c>
      <c r="B33" s="2" t="s">
        <v>36</v>
      </c>
      <c r="C33" s="8" t="s">
        <v>39</v>
      </c>
      <c r="D33" s="8"/>
      <c r="E33" s="14">
        <v>1</v>
      </c>
      <c r="F33" s="25"/>
      <c r="G33" s="26">
        <f t="shared" si="4"/>
        <v>1</v>
      </c>
      <c r="H33" s="20">
        <v>1500</v>
      </c>
      <c r="I33" s="11">
        <f t="shared" si="2"/>
        <v>1500</v>
      </c>
      <c r="J33" s="5" t="s">
        <v>40</v>
      </c>
      <c r="K33" s="7"/>
    </row>
    <row r="34" spans="1:11" ht="21.75" customHeight="1" x14ac:dyDescent="0.35">
      <c r="A34" s="22">
        <v>29</v>
      </c>
      <c r="B34" s="2" t="s">
        <v>36</v>
      </c>
      <c r="C34" s="8" t="s">
        <v>46</v>
      </c>
      <c r="D34" s="8" t="s">
        <v>53</v>
      </c>
      <c r="E34" s="14">
        <v>1</v>
      </c>
      <c r="F34" s="25"/>
      <c r="G34" s="26">
        <f t="shared" si="4"/>
        <v>1</v>
      </c>
      <c r="H34" s="20"/>
      <c r="I34" s="11"/>
      <c r="J34" s="5"/>
      <c r="K34" s="7"/>
    </row>
    <row r="35" spans="1:11" ht="21.75" customHeight="1" x14ac:dyDescent="0.35">
      <c r="A35" s="23">
        <v>30</v>
      </c>
      <c r="B35" s="2" t="s">
        <v>36</v>
      </c>
      <c r="C35" s="8" t="s">
        <v>41</v>
      </c>
      <c r="D35" s="8"/>
      <c r="E35" s="14">
        <v>1</v>
      </c>
      <c r="F35" s="25"/>
      <c r="G35" s="26">
        <f t="shared" si="4"/>
        <v>1</v>
      </c>
      <c r="H35" s="20">
        <v>12500</v>
      </c>
      <c r="I35" s="11">
        <f t="shared" si="2"/>
        <v>12500</v>
      </c>
      <c r="J35" s="5" t="s">
        <v>26</v>
      </c>
      <c r="K35" s="7" t="s">
        <v>42</v>
      </c>
    </row>
  </sheetData>
  <mergeCells count="4">
    <mergeCell ref="A1:K1"/>
    <mergeCell ref="A3:C3"/>
    <mergeCell ref="M4:M5"/>
    <mergeCell ref="N4:N5"/>
  </mergeCells>
  <printOptions horizontalCentered="1" verticalCentered="1"/>
  <pageMargins left="0" right="0" top="0" bottom="0" header="0" footer="0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Dharshana Wijerathne</cp:lastModifiedBy>
  <cp:lastPrinted>2023-10-21T09:57:18Z</cp:lastPrinted>
  <dcterms:created xsi:type="dcterms:W3CDTF">2016-12-21T05:46:21Z</dcterms:created>
  <dcterms:modified xsi:type="dcterms:W3CDTF">2025-03-13T03:03:37Z</dcterms:modified>
</cp:coreProperties>
</file>