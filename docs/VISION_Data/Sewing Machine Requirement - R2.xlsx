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D - New Project\India - New Project\Hether Gray\"/>
    </mc:Choice>
  </mc:AlternateContent>
  <xr:revisionPtr revIDLastSave="0" documentId="13_ncr:1_{DEDA47FC-55BF-4E67-A360-1E8A78A6A16D}" xr6:coauthVersionLast="47" xr6:coauthVersionMax="47" xr10:uidLastSave="{00000000-0000-0000-0000-000000000000}"/>
  <bookViews>
    <workbookView xWindow="-110" yWindow="-110" windowWidth="19420" windowHeight="10300" xr2:uid="{A1580ECC-B585-4A26-8668-A024E13246CB}"/>
  </bookViews>
  <sheets>
    <sheet name="Sewing Machine Summery" sheetId="1" r:id="rId1"/>
  </sheets>
  <definedNames>
    <definedName name="_xlnm.Print_Area" localSheetId="0">'Sewing Machine Summery'!$A$1:$P$28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1" l="1"/>
  <c r="N7" i="1"/>
  <c r="N19" i="1"/>
  <c r="N20" i="1"/>
  <c r="N14" i="1"/>
  <c r="N15" i="1"/>
  <c r="N16" i="1"/>
  <c r="M23" i="1"/>
  <c r="N23" i="1" s="1"/>
  <c r="M24" i="1"/>
  <c r="N24" i="1" s="1"/>
  <c r="M25" i="1"/>
  <c r="N25" i="1" s="1"/>
  <c r="M26" i="1"/>
  <c r="N26" i="1" s="1"/>
  <c r="M27" i="1"/>
  <c r="N27" i="1" s="1"/>
  <c r="M18" i="1"/>
  <c r="N18" i="1" s="1"/>
  <c r="M19" i="1"/>
  <c r="M20" i="1"/>
  <c r="M21" i="1"/>
  <c r="N21" i="1" s="1"/>
  <c r="M22" i="1"/>
  <c r="N22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M15" i="1"/>
  <c r="M16" i="1"/>
  <c r="M17" i="1"/>
  <c r="N17" i="1" s="1"/>
  <c r="L28" i="1" l="1"/>
  <c r="T28" i="1" l="1"/>
  <c r="K28" i="1"/>
  <c r="J28" i="1"/>
  <c r="I28" i="1"/>
  <c r="H28" i="1"/>
  <c r="G28" i="1"/>
  <c r="F28" i="1"/>
  <c r="U27" i="1"/>
  <c r="U26" i="1"/>
  <c r="U24" i="1"/>
  <c r="P22" i="1"/>
  <c r="U20" i="1"/>
  <c r="U19" i="1"/>
  <c r="U18" i="1"/>
  <c r="U13" i="1"/>
  <c r="U12" i="1"/>
  <c r="M8" i="1"/>
  <c r="M7" i="1"/>
  <c r="U8" i="1" l="1"/>
  <c r="N8" i="1"/>
  <c r="N28" i="1"/>
  <c r="U22" i="1"/>
  <c r="P8" i="1"/>
  <c r="U23" i="1"/>
  <c r="P23" i="1"/>
  <c r="P10" i="1"/>
  <c r="U10" i="1"/>
  <c r="P25" i="1"/>
  <c r="U25" i="1"/>
  <c r="U17" i="1"/>
  <c r="P17" i="1"/>
  <c r="U21" i="1"/>
  <c r="P21" i="1"/>
  <c r="P7" i="1"/>
  <c r="U7" i="1"/>
  <c r="M28" i="1"/>
  <c r="P13" i="1"/>
  <c r="P18" i="1"/>
</calcChain>
</file>

<file path=xl/sharedStrings.xml><?xml version="1.0" encoding="utf-8"?>
<sst xmlns="http://schemas.openxmlformats.org/spreadsheetml/2006/main" count="115" uniqueCount="67">
  <si>
    <t xml:space="preserve">Sewing Machine Requirement </t>
  </si>
  <si>
    <t>Total Machine Availability</t>
  </si>
  <si>
    <t>Balance to purchase</t>
  </si>
  <si>
    <t>NO</t>
  </si>
  <si>
    <t>CAT</t>
  </si>
  <si>
    <t>Machine Type</t>
  </si>
  <si>
    <t>Make</t>
  </si>
  <si>
    <t>Model No</t>
  </si>
  <si>
    <t>Sample  Room Machinery</t>
  </si>
  <si>
    <t>CAPS</t>
  </si>
  <si>
    <t>APRONS</t>
  </si>
  <si>
    <t>SHIRTS</t>
  </si>
  <si>
    <t>T-SHIRTS  &amp; JACKETS</t>
  </si>
  <si>
    <t>TROUSERS</t>
  </si>
  <si>
    <t>Adding 5%</t>
  </si>
  <si>
    <t>Total Machine Requirement For 1 Lines</t>
  </si>
  <si>
    <t>Est Unit Cost $</t>
  </si>
  <si>
    <t>Estimated Total Cost US$</t>
  </si>
  <si>
    <t>MAKE</t>
  </si>
  <si>
    <t xml:space="preserve">MODEL NO </t>
  </si>
  <si>
    <t>SEW</t>
  </si>
  <si>
    <t>Single Needle Lock Stitch UBT</t>
  </si>
  <si>
    <t>Brother</t>
  </si>
  <si>
    <t>S7300A403</t>
  </si>
  <si>
    <t>JUKI</t>
  </si>
  <si>
    <t>DDL9000BMSWB</t>
  </si>
  <si>
    <t>Single Needle Edge Cutter</t>
  </si>
  <si>
    <t>LZ2284A7WB/SC920A/CP18A</t>
  </si>
  <si>
    <t>Double Needle Lock Stitch UBT</t>
  </si>
  <si>
    <t>LK 1900</t>
  </si>
  <si>
    <t>3th Overlock</t>
  </si>
  <si>
    <t>Pegasus</t>
  </si>
  <si>
    <t>LK 1930</t>
  </si>
  <si>
    <t>4th Overlock Auto BL</t>
  </si>
  <si>
    <t>CZ6120-Y5DF/K2/CC4F/HF-20M/DD</t>
  </si>
  <si>
    <t>YAMATO</t>
  </si>
  <si>
    <t>AZ7125SDR-Y5DF-8/K2/SC18/CC4F</t>
  </si>
  <si>
    <t xml:space="preserve">Flat Lock Right Cutter </t>
  </si>
  <si>
    <t>AZ8020SD-X5DF-8/ABT30/HF-20M/Y</t>
  </si>
  <si>
    <t>AZ7125SDR-Y5DF-8/K2/SC18/CC4F - Sunkan bed</t>
  </si>
  <si>
    <t xml:space="preserve">Flat Lock Left Cutter </t>
  </si>
  <si>
    <t>AZF8420-Y5DF/K2/RS25C/CC4F/HF-20M-TD</t>
  </si>
  <si>
    <t>AZ8451-Y5DF/K2/MA/CC4</t>
  </si>
  <si>
    <t>Flat Lock Binding</t>
  </si>
  <si>
    <t>Flat Cylinder Bed</t>
  </si>
  <si>
    <t>Bar tack</t>
  </si>
  <si>
    <t>VF2500</t>
  </si>
  <si>
    <t xml:space="preserve">Button hole </t>
  </si>
  <si>
    <t>VF2503</t>
  </si>
  <si>
    <t>Button attach</t>
  </si>
  <si>
    <t>VFK2560-160M-02M-8/K1/SC30</t>
  </si>
  <si>
    <t>Snap button attach</t>
  </si>
  <si>
    <t>Special sewing MC FOR CAP</t>
  </si>
  <si>
    <t xml:space="preserve">VG2735PR-156M-31-8F/UT-A44/CC7 </t>
  </si>
  <si>
    <t xml:space="preserve">Pattern Shower </t>
  </si>
  <si>
    <t>Total Sewing Machine</t>
  </si>
  <si>
    <t>Automatic Pocket welting machine</t>
  </si>
  <si>
    <t>Plant : Heather Grey  (pvt) Ltd.</t>
  </si>
  <si>
    <t>Double Needle Chain Stitch UBT</t>
  </si>
  <si>
    <t>5th Overlock Auto BL</t>
  </si>
  <si>
    <t>Kansai mc</t>
  </si>
  <si>
    <t>iron</t>
  </si>
  <si>
    <t>Feed of the arm</t>
  </si>
  <si>
    <t>Vest</t>
  </si>
  <si>
    <t>Single  Needle Chain Stitch UBT</t>
  </si>
  <si>
    <t>KANSAI</t>
  </si>
  <si>
    <t>Date : 28/01/25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</si>
</sst>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0"/>
      <color theme="0"/>
      <name val="Calibri"/>
      <family val="2"/>
      <scheme val="minor"/>
    </font>
    <font>
      <sz val="11"/>
      <color theme="0"/>
      <name val="Calibri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3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74">
    <xf numFmtId="0" fontId="0" fillId="0" borderId="0" xfId="0"/>
    <xf numFmtId="0" fontId="3" fillId="2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/>
    <xf numFmtId="0" fontId="5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1" xfId="0" applyFill="1" applyBorder="1"/>
    <xf numFmtId="0" fontId="0" fillId="2" borderId="2" xfId="0" applyFill="1" applyBorder="1"/>
    <xf numFmtId="0" fontId="7" fillId="5" borderId="4" xfId="2" applyFont="1" applyFill="1" applyBorder="1" applyAlignment="1">
      <alignment horizontal="center" vertical="center" wrapText="1"/>
    </xf>
    <xf numFmtId="0" fontId="7" fillId="5" borderId="5" xfId="2" applyFont="1" applyFill="1" applyBorder="1" applyAlignment="1">
      <alignment horizontal="center" vertical="center" wrapText="1"/>
    </xf>
    <xf numFmtId="0" fontId="7" fillId="5" borderId="3" xfId="2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wrapText="1"/>
    </xf>
    <xf numFmtId="0" fontId="11" fillId="4" borderId="7" xfId="2" applyFont="1" applyFill="1" applyBorder="1" applyAlignment="1">
      <alignment horizontal="left" wrapText="1"/>
    </xf>
    <xf numFmtId="0" fontId="11" fillId="4" borderId="2" xfId="2" applyFont="1" applyFill="1" applyBorder="1" applyAlignment="1">
      <alignment horizontal="left" wrapText="1"/>
    </xf>
    <xf numFmtId="1" fontId="11" fillId="4" borderId="8" xfId="2" applyNumberFormat="1" applyFont="1" applyFill="1" applyBorder="1" applyAlignment="1">
      <alignment horizontal="center" vertical="center"/>
    </xf>
    <xf numFmtId="164" fontId="10" fillId="4" borderId="1" xfId="1" applyNumberFormat="1" applyFont="1" applyFill="1" applyBorder="1" applyAlignment="1">
      <alignment horizontal="right"/>
    </xf>
    <xf numFmtId="164" fontId="10" fillId="4" borderId="2" xfId="0" applyNumberFormat="1" applyFont="1" applyFill="1" applyBorder="1" applyAlignment="1">
      <alignment horizontal="right"/>
    </xf>
    <xf numFmtId="0" fontId="10" fillId="4" borderId="2" xfId="0" applyFont="1" applyFill="1" applyBorder="1"/>
    <xf numFmtId="0" fontId="10" fillId="4" borderId="2" xfId="0" applyFont="1" applyFill="1" applyBorder="1" applyAlignment="1">
      <alignment wrapText="1"/>
    </xf>
    <xf numFmtId="0" fontId="0" fillId="0" borderId="9" xfId="0" applyBorder="1" applyAlignment="1">
      <alignment horizontal="center"/>
    </xf>
    <xf numFmtId="1" fontId="2" fillId="4" borderId="8" xfId="0" applyNumberFormat="1" applyFont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10" fillId="4" borderId="2" xfId="0" applyFont="1" applyFill="1" applyBorder="1" applyAlignment="1">
      <alignment horizontal="left"/>
    </xf>
    <xf numFmtId="0" fontId="11" fillId="4" borderId="2" xfId="2" applyFont="1" applyFill="1" applyBorder="1" applyAlignment="1">
      <alignment horizontal="center"/>
    </xf>
    <xf numFmtId="0" fontId="11" fillId="4" borderId="11" xfId="2" applyFont="1" applyFill="1" applyBorder="1" applyAlignment="1">
      <alignment horizontal="center"/>
    </xf>
    <xf numFmtId="1" fontId="11" fillId="4" borderId="12" xfId="2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wrapText="1"/>
    </xf>
    <xf numFmtId="0" fontId="0" fillId="0" borderId="13" xfId="0" applyBorder="1" applyAlignment="1">
      <alignment horizontal="center"/>
    </xf>
    <xf numFmtId="1" fontId="2" fillId="4" borderId="12" xfId="0" applyNumberFormat="1" applyFont="1" applyFill="1" applyBorder="1" applyAlignment="1">
      <alignment horizontal="center"/>
    </xf>
    <xf numFmtId="164" fontId="10" fillId="6" borderId="1" xfId="1" applyNumberFormat="1" applyFont="1" applyFill="1" applyBorder="1" applyAlignment="1">
      <alignment horizontal="right"/>
    </xf>
    <xf numFmtId="164" fontId="10" fillId="6" borderId="2" xfId="0" applyNumberFormat="1" applyFont="1" applyFill="1" applyBorder="1" applyAlignment="1">
      <alignment horizontal="right"/>
    </xf>
    <xf numFmtId="0" fontId="10" fillId="6" borderId="2" xfId="0" applyFont="1" applyFill="1" applyBorder="1"/>
    <xf numFmtId="0" fontId="10" fillId="6" borderId="2" xfId="0" applyFont="1" applyFill="1" applyBorder="1" applyAlignment="1">
      <alignment wrapText="1"/>
    </xf>
    <xf numFmtId="0" fontId="0" fillId="4" borderId="14" xfId="0" applyFill="1" applyBorder="1" applyAlignment="1">
      <alignment horizontal="left"/>
    </xf>
    <xf numFmtId="0" fontId="0" fillId="6" borderId="2" xfId="0" applyFill="1" applyBorder="1" applyAlignment="1">
      <alignment wrapText="1"/>
    </xf>
    <xf numFmtId="0" fontId="10" fillId="4" borderId="15" xfId="0" applyFont="1" applyFill="1" applyBorder="1" applyAlignment="1">
      <alignment horizontal="left"/>
    </xf>
    <xf numFmtId="0" fontId="11" fillId="4" borderId="15" xfId="2" applyFont="1" applyFill="1" applyBorder="1" applyAlignment="1">
      <alignment horizontal="left" wrapText="1"/>
    </xf>
    <xf numFmtId="0" fontId="11" fillId="4" borderId="15" xfId="2" applyFont="1" applyFill="1" applyBorder="1" applyAlignment="1">
      <alignment horizontal="center"/>
    </xf>
    <xf numFmtId="0" fontId="11" fillId="4" borderId="16" xfId="2" applyFont="1" applyFill="1" applyBorder="1" applyAlignment="1">
      <alignment horizontal="center"/>
    </xf>
    <xf numFmtId="0" fontId="11" fillId="4" borderId="17" xfId="2" applyFont="1" applyFill="1" applyBorder="1" applyAlignment="1">
      <alignment horizontal="center"/>
    </xf>
    <xf numFmtId="0" fontId="12" fillId="7" borderId="19" xfId="0" applyFont="1" applyFill="1" applyBorder="1" applyAlignment="1">
      <alignment horizontal="center" vertical="center" wrapText="1"/>
    </xf>
    <xf numFmtId="0" fontId="13" fillId="7" borderId="20" xfId="2" applyFont="1" applyFill="1" applyBorder="1" applyAlignment="1">
      <alignment horizontal="center" vertical="center" wrapText="1"/>
    </xf>
    <xf numFmtId="0" fontId="13" fillId="7" borderId="21" xfId="2" applyFont="1" applyFill="1" applyBorder="1" applyAlignment="1">
      <alignment horizontal="center" vertical="center" wrapText="1"/>
    </xf>
    <xf numFmtId="1" fontId="13" fillId="7" borderId="5" xfId="2" applyNumberFormat="1" applyFont="1" applyFill="1" applyBorder="1" applyAlignment="1">
      <alignment horizontal="center" vertical="center" wrapText="1"/>
    </xf>
    <xf numFmtId="0" fontId="13" fillId="7" borderId="5" xfId="2" applyFont="1" applyFill="1" applyBorder="1" applyAlignment="1">
      <alignment horizontal="center" vertical="center" wrapText="1"/>
    </xf>
    <xf numFmtId="0" fontId="7" fillId="5" borderId="22" xfId="2" applyFont="1" applyFill="1" applyBorder="1" applyAlignment="1">
      <alignment horizontal="center" vertical="center" wrapText="1"/>
    </xf>
    <xf numFmtId="1" fontId="11" fillId="4" borderId="23" xfId="2" applyNumberFormat="1" applyFont="1" applyFill="1" applyBorder="1" applyAlignment="1">
      <alignment horizontal="center"/>
    </xf>
    <xf numFmtId="1" fontId="13" fillId="7" borderId="18" xfId="2" applyNumberFormat="1" applyFont="1" applyFill="1" applyBorder="1" applyAlignment="1">
      <alignment horizontal="center" vertical="center" wrapText="1"/>
    </xf>
    <xf numFmtId="0" fontId="11" fillId="4" borderId="0" xfId="2" applyFont="1" applyFill="1" applyAlignment="1">
      <alignment horizontal="left" wrapText="1"/>
    </xf>
    <xf numFmtId="0" fontId="11" fillId="4" borderId="7" xfId="2" applyFont="1" applyFill="1" applyBorder="1" applyAlignment="1">
      <alignment horizontal="center"/>
    </xf>
    <xf numFmtId="0" fontId="7" fillId="5" borderId="24" xfId="2" applyFont="1" applyFill="1" applyBorder="1" applyAlignment="1">
      <alignment horizontal="center" vertical="center" wrapText="1"/>
    </xf>
    <xf numFmtId="0" fontId="7" fillId="5" borderId="25" xfId="2" applyFont="1" applyFill="1" applyBorder="1" applyAlignment="1">
      <alignment horizontal="center" vertical="center" wrapText="1"/>
    </xf>
    <xf numFmtId="0" fontId="7" fillId="5" borderId="0" xfId="2" applyFont="1" applyFill="1" applyAlignment="1">
      <alignment horizontal="center" vertical="center" wrapText="1"/>
    </xf>
    <xf numFmtId="0" fontId="7" fillId="3" borderId="0" xfId="2" applyFont="1" applyFill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11" fillId="4" borderId="27" xfId="2" applyFont="1" applyFill="1" applyBorder="1" applyAlignment="1">
      <alignment horizontal="center"/>
    </xf>
    <xf numFmtId="1" fontId="11" fillId="4" borderId="28" xfId="2" applyNumberFormat="1" applyFont="1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10" fillId="4" borderId="7" xfId="0" applyFont="1" applyFill="1" applyBorder="1" applyAlignment="1">
      <alignment horizontal="left"/>
    </xf>
    <xf numFmtId="0" fontId="7" fillId="8" borderId="5" xfId="2" applyFont="1" applyFill="1" applyBorder="1" applyAlignment="1">
      <alignment horizontal="center" vertical="center" wrapText="1"/>
    </xf>
    <xf numFmtId="1" fontId="9" fillId="8" borderId="8" xfId="2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7" fillId="3" borderId="3" xfId="2" applyFont="1" applyFill="1" applyBorder="1" applyAlignment="1">
      <alignment horizontal="center" vertical="center" wrapText="1"/>
    </xf>
    <xf numFmtId="0" fontId="7" fillId="3" borderId="6" xfId="2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12" fillId="7" borderId="18" xfId="0" applyFont="1" applyFill="1" applyBorder="1" applyAlignment="1">
      <alignment horizontal="center" vertical="center" wrapText="1"/>
    </xf>
    <xf numFmtId="0" fontId="12" fillId="7" borderId="19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8" xfId="2" xr:uid="{1D8B5E25-3F32-4756-B2EC-A3A1218BA7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95250</xdr:colOff>
      <xdr:row>0</xdr:row>
      <xdr:rowOff>39860</xdr:rowOff>
    </xdr:from>
    <xdr:to>
      <xdr:col>13</xdr:col>
      <xdr:colOff>417286</xdr:colOff>
      <xdr:row>3</xdr:row>
      <xdr:rowOff>165434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428748-4156-4C06-A3FF-F16DCA10A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81607" y="39860"/>
          <a:ext cx="2671536" cy="9329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38D14-724A-481F-872A-CFEB7DE6393F}">
  <sheetPr>
    <tabColor rgb="FFFFFF00"/>
    <pageSetUpPr fitToPage="1"/>
  </sheetPr>
  <dimension ref="A1:U30"/>
  <sheetViews>
    <sheetView tabSelected="1" zoomScale="70" zoomScaleNormal="70" workbookViewId="0">
      <selection activeCell="V8" sqref="V8"/>
    </sheetView>
  </sheetViews>
  <sheetFormatPr defaultRowHeight="14.5" x14ac:dyDescent="0.35"/>
  <cols>
    <col min="1" max="1" width="9.1796875" customWidth="1"/>
    <col min="2" max="2" width="13.453125" customWidth="1"/>
    <col min="3" max="3" width="54.26953125" customWidth="1"/>
    <col min="4" max="4" width="12.81640625" customWidth="1"/>
    <col min="5" max="5" width="46.81640625" hidden="1" customWidth="1"/>
    <col min="6" max="10" width="12.26953125" style="2" customWidth="1"/>
    <col min="11" max="12" width="12.1796875" style="2" customWidth="1"/>
    <col min="13" max="13" width="9.26953125" style="2" customWidth="1"/>
    <col min="14" max="14" width="16.26953125" customWidth="1"/>
    <col min="15" max="15" width="8.7265625" hidden="1" customWidth="1"/>
    <col min="16" max="16" width="10.26953125" hidden="1" customWidth="1"/>
    <col min="17" max="17" width="20.453125" hidden="1" customWidth="1"/>
    <col min="18" max="18" width="22.54296875" hidden="1" customWidth="1"/>
    <col min="20" max="20" width="16.1796875" style="2" hidden="1" customWidth="1"/>
    <col min="21" max="21" width="10.81640625" style="2" hidden="1" customWidth="1"/>
    <col min="257" max="257" width="2.81640625" customWidth="1"/>
    <col min="259" max="259" width="12.7265625" bestFit="1" customWidth="1"/>
    <col min="260" max="260" width="42.26953125" customWidth="1"/>
    <col min="263" max="264" width="8.7265625" bestFit="1" customWidth="1"/>
    <col min="265" max="265" width="10.26953125" bestFit="1" customWidth="1"/>
    <col min="266" max="266" width="20.453125" customWidth="1"/>
    <col min="267" max="267" width="22.54296875" customWidth="1"/>
    <col min="513" max="513" width="2.81640625" customWidth="1"/>
    <col min="515" max="515" width="12.7265625" bestFit="1" customWidth="1"/>
    <col min="516" max="516" width="42.26953125" customWidth="1"/>
    <col min="519" max="520" width="8.7265625" bestFit="1" customWidth="1"/>
    <col min="521" max="521" width="10.26953125" bestFit="1" customWidth="1"/>
    <col min="522" max="522" width="20.453125" customWidth="1"/>
    <col min="523" max="523" width="22.54296875" customWidth="1"/>
    <col min="769" max="769" width="2.81640625" customWidth="1"/>
    <col min="771" max="771" width="12.7265625" bestFit="1" customWidth="1"/>
    <col min="772" max="772" width="42.26953125" customWidth="1"/>
    <col min="775" max="776" width="8.7265625" bestFit="1" customWidth="1"/>
    <col min="777" max="777" width="10.26953125" bestFit="1" customWidth="1"/>
    <col min="778" max="778" width="20.453125" customWidth="1"/>
    <col min="779" max="779" width="22.54296875" customWidth="1"/>
    <col min="1025" max="1025" width="2.81640625" customWidth="1"/>
    <col min="1027" max="1027" width="12.7265625" bestFit="1" customWidth="1"/>
    <col min="1028" max="1028" width="42.26953125" customWidth="1"/>
    <col min="1031" max="1032" width="8.7265625" bestFit="1" customWidth="1"/>
    <col min="1033" max="1033" width="10.26953125" bestFit="1" customWidth="1"/>
    <col min="1034" max="1034" width="20.453125" customWidth="1"/>
    <col min="1035" max="1035" width="22.54296875" customWidth="1"/>
    <col min="1281" max="1281" width="2.81640625" customWidth="1"/>
    <col min="1283" max="1283" width="12.7265625" bestFit="1" customWidth="1"/>
    <col min="1284" max="1284" width="42.26953125" customWidth="1"/>
    <col min="1287" max="1288" width="8.7265625" bestFit="1" customWidth="1"/>
    <col min="1289" max="1289" width="10.26953125" bestFit="1" customWidth="1"/>
    <col min="1290" max="1290" width="20.453125" customWidth="1"/>
    <col min="1291" max="1291" width="22.54296875" customWidth="1"/>
    <col min="1537" max="1537" width="2.81640625" customWidth="1"/>
    <col min="1539" max="1539" width="12.7265625" bestFit="1" customWidth="1"/>
    <col min="1540" max="1540" width="42.26953125" customWidth="1"/>
    <col min="1543" max="1544" width="8.7265625" bestFit="1" customWidth="1"/>
    <col min="1545" max="1545" width="10.26953125" bestFit="1" customWidth="1"/>
    <col min="1546" max="1546" width="20.453125" customWidth="1"/>
    <col min="1547" max="1547" width="22.54296875" customWidth="1"/>
    <col min="1793" max="1793" width="2.81640625" customWidth="1"/>
    <col min="1795" max="1795" width="12.7265625" bestFit="1" customWidth="1"/>
    <col min="1796" max="1796" width="42.26953125" customWidth="1"/>
    <col min="1799" max="1800" width="8.7265625" bestFit="1" customWidth="1"/>
    <col min="1801" max="1801" width="10.26953125" bestFit="1" customWidth="1"/>
    <col min="1802" max="1802" width="20.453125" customWidth="1"/>
    <col min="1803" max="1803" width="22.54296875" customWidth="1"/>
    <col min="2049" max="2049" width="2.81640625" customWidth="1"/>
    <col min="2051" max="2051" width="12.7265625" bestFit="1" customWidth="1"/>
    <col min="2052" max="2052" width="42.26953125" customWidth="1"/>
    <col min="2055" max="2056" width="8.7265625" bestFit="1" customWidth="1"/>
    <col min="2057" max="2057" width="10.26953125" bestFit="1" customWidth="1"/>
    <col min="2058" max="2058" width="20.453125" customWidth="1"/>
    <col min="2059" max="2059" width="22.54296875" customWidth="1"/>
    <col min="2305" max="2305" width="2.81640625" customWidth="1"/>
    <col min="2307" max="2307" width="12.7265625" bestFit="1" customWidth="1"/>
    <col min="2308" max="2308" width="42.26953125" customWidth="1"/>
    <col min="2311" max="2312" width="8.7265625" bestFit="1" customWidth="1"/>
    <col min="2313" max="2313" width="10.26953125" bestFit="1" customWidth="1"/>
    <col min="2314" max="2314" width="20.453125" customWidth="1"/>
    <col min="2315" max="2315" width="22.54296875" customWidth="1"/>
    <col min="2561" max="2561" width="2.81640625" customWidth="1"/>
    <col min="2563" max="2563" width="12.7265625" bestFit="1" customWidth="1"/>
    <col min="2564" max="2564" width="42.26953125" customWidth="1"/>
    <col min="2567" max="2568" width="8.7265625" bestFit="1" customWidth="1"/>
    <col min="2569" max="2569" width="10.26953125" bestFit="1" customWidth="1"/>
    <col min="2570" max="2570" width="20.453125" customWidth="1"/>
    <col min="2571" max="2571" width="22.54296875" customWidth="1"/>
    <col min="2817" max="2817" width="2.81640625" customWidth="1"/>
    <col min="2819" max="2819" width="12.7265625" bestFit="1" customWidth="1"/>
    <col min="2820" max="2820" width="42.26953125" customWidth="1"/>
    <col min="2823" max="2824" width="8.7265625" bestFit="1" customWidth="1"/>
    <col min="2825" max="2825" width="10.26953125" bestFit="1" customWidth="1"/>
    <col min="2826" max="2826" width="20.453125" customWidth="1"/>
    <col min="2827" max="2827" width="22.54296875" customWidth="1"/>
    <col min="3073" max="3073" width="2.81640625" customWidth="1"/>
    <col min="3075" max="3075" width="12.7265625" bestFit="1" customWidth="1"/>
    <col min="3076" max="3076" width="42.26953125" customWidth="1"/>
    <col min="3079" max="3080" width="8.7265625" bestFit="1" customWidth="1"/>
    <col min="3081" max="3081" width="10.26953125" bestFit="1" customWidth="1"/>
    <col min="3082" max="3082" width="20.453125" customWidth="1"/>
    <col min="3083" max="3083" width="22.54296875" customWidth="1"/>
    <col min="3329" max="3329" width="2.81640625" customWidth="1"/>
    <col min="3331" max="3331" width="12.7265625" bestFit="1" customWidth="1"/>
    <col min="3332" max="3332" width="42.26953125" customWidth="1"/>
    <col min="3335" max="3336" width="8.7265625" bestFit="1" customWidth="1"/>
    <col min="3337" max="3337" width="10.26953125" bestFit="1" customWidth="1"/>
    <col min="3338" max="3338" width="20.453125" customWidth="1"/>
    <col min="3339" max="3339" width="22.54296875" customWidth="1"/>
    <col min="3585" max="3585" width="2.81640625" customWidth="1"/>
    <col min="3587" max="3587" width="12.7265625" bestFit="1" customWidth="1"/>
    <col min="3588" max="3588" width="42.26953125" customWidth="1"/>
    <col min="3591" max="3592" width="8.7265625" bestFit="1" customWidth="1"/>
    <col min="3593" max="3593" width="10.26953125" bestFit="1" customWidth="1"/>
    <col min="3594" max="3594" width="20.453125" customWidth="1"/>
    <col min="3595" max="3595" width="22.54296875" customWidth="1"/>
    <col min="3841" max="3841" width="2.81640625" customWidth="1"/>
    <col min="3843" max="3843" width="12.7265625" bestFit="1" customWidth="1"/>
    <col min="3844" max="3844" width="42.26953125" customWidth="1"/>
    <col min="3847" max="3848" width="8.7265625" bestFit="1" customWidth="1"/>
    <col min="3849" max="3849" width="10.26953125" bestFit="1" customWidth="1"/>
    <col min="3850" max="3850" width="20.453125" customWidth="1"/>
    <col min="3851" max="3851" width="22.54296875" customWidth="1"/>
    <col min="4097" max="4097" width="2.81640625" customWidth="1"/>
    <col min="4099" max="4099" width="12.7265625" bestFit="1" customWidth="1"/>
    <col min="4100" max="4100" width="42.26953125" customWidth="1"/>
    <col min="4103" max="4104" width="8.7265625" bestFit="1" customWidth="1"/>
    <col min="4105" max="4105" width="10.26953125" bestFit="1" customWidth="1"/>
    <col min="4106" max="4106" width="20.453125" customWidth="1"/>
    <col min="4107" max="4107" width="22.54296875" customWidth="1"/>
    <col min="4353" max="4353" width="2.81640625" customWidth="1"/>
    <col min="4355" max="4355" width="12.7265625" bestFit="1" customWidth="1"/>
    <col min="4356" max="4356" width="42.26953125" customWidth="1"/>
    <col min="4359" max="4360" width="8.7265625" bestFit="1" customWidth="1"/>
    <col min="4361" max="4361" width="10.26953125" bestFit="1" customWidth="1"/>
    <col min="4362" max="4362" width="20.453125" customWidth="1"/>
    <col min="4363" max="4363" width="22.54296875" customWidth="1"/>
    <col min="4609" max="4609" width="2.81640625" customWidth="1"/>
    <col min="4611" max="4611" width="12.7265625" bestFit="1" customWidth="1"/>
    <col min="4612" max="4612" width="42.26953125" customWidth="1"/>
    <col min="4615" max="4616" width="8.7265625" bestFit="1" customWidth="1"/>
    <col min="4617" max="4617" width="10.26953125" bestFit="1" customWidth="1"/>
    <col min="4618" max="4618" width="20.453125" customWidth="1"/>
    <col min="4619" max="4619" width="22.54296875" customWidth="1"/>
    <col min="4865" max="4865" width="2.81640625" customWidth="1"/>
    <col min="4867" max="4867" width="12.7265625" bestFit="1" customWidth="1"/>
    <col min="4868" max="4868" width="42.26953125" customWidth="1"/>
    <col min="4871" max="4872" width="8.7265625" bestFit="1" customWidth="1"/>
    <col min="4873" max="4873" width="10.26953125" bestFit="1" customWidth="1"/>
    <col min="4874" max="4874" width="20.453125" customWidth="1"/>
    <col min="4875" max="4875" width="22.54296875" customWidth="1"/>
    <col min="5121" max="5121" width="2.81640625" customWidth="1"/>
    <col min="5123" max="5123" width="12.7265625" bestFit="1" customWidth="1"/>
    <col min="5124" max="5124" width="42.26953125" customWidth="1"/>
    <col min="5127" max="5128" width="8.7265625" bestFit="1" customWidth="1"/>
    <col min="5129" max="5129" width="10.26953125" bestFit="1" customWidth="1"/>
    <col min="5130" max="5130" width="20.453125" customWidth="1"/>
    <col min="5131" max="5131" width="22.54296875" customWidth="1"/>
    <col min="5377" max="5377" width="2.81640625" customWidth="1"/>
    <col min="5379" max="5379" width="12.7265625" bestFit="1" customWidth="1"/>
    <col min="5380" max="5380" width="42.26953125" customWidth="1"/>
    <col min="5383" max="5384" width="8.7265625" bestFit="1" customWidth="1"/>
    <col min="5385" max="5385" width="10.26953125" bestFit="1" customWidth="1"/>
    <col min="5386" max="5386" width="20.453125" customWidth="1"/>
    <col min="5387" max="5387" width="22.54296875" customWidth="1"/>
    <col min="5633" max="5633" width="2.81640625" customWidth="1"/>
    <col min="5635" max="5635" width="12.7265625" bestFit="1" customWidth="1"/>
    <col min="5636" max="5636" width="42.26953125" customWidth="1"/>
    <col min="5639" max="5640" width="8.7265625" bestFit="1" customWidth="1"/>
    <col min="5641" max="5641" width="10.26953125" bestFit="1" customWidth="1"/>
    <col min="5642" max="5642" width="20.453125" customWidth="1"/>
    <col min="5643" max="5643" width="22.54296875" customWidth="1"/>
    <col min="5889" max="5889" width="2.81640625" customWidth="1"/>
    <col min="5891" max="5891" width="12.7265625" bestFit="1" customWidth="1"/>
    <col min="5892" max="5892" width="42.26953125" customWidth="1"/>
    <col min="5895" max="5896" width="8.7265625" bestFit="1" customWidth="1"/>
    <col min="5897" max="5897" width="10.26953125" bestFit="1" customWidth="1"/>
    <col min="5898" max="5898" width="20.453125" customWidth="1"/>
    <col min="5899" max="5899" width="22.54296875" customWidth="1"/>
    <col min="6145" max="6145" width="2.81640625" customWidth="1"/>
    <col min="6147" max="6147" width="12.7265625" bestFit="1" customWidth="1"/>
    <col min="6148" max="6148" width="42.26953125" customWidth="1"/>
    <col min="6151" max="6152" width="8.7265625" bestFit="1" customWidth="1"/>
    <col min="6153" max="6153" width="10.26953125" bestFit="1" customWidth="1"/>
    <col min="6154" max="6154" width="20.453125" customWidth="1"/>
    <col min="6155" max="6155" width="22.54296875" customWidth="1"/>
    <col min="6401" max="6401" width="2.81640625" customWidth="1"/>
    <col min="6403" max="6403" width="12.7265625" bestFit="1" customWidth="1"/>
    <col min="6404" max="6404" width="42.26953125" customWidth="1"/>
    <col min="6407" max="6408" width="8.7265625" bestFit="1" customWidth="1"/>
    <col min="6409" max="6409" width="10.26953125" bestFit="1" customWidth="1"/>
    <col min="6410" max="6410" width="20.453125" customWidth="1"/>
    <col min="6411" max="6411" width="22.54296875" customWidth="1"/>
    <col min="6657" max="6657" width="2.81640625" customWidth="1"/>
    <col min="6659" max="6659" width="12.7265625" bestFit="1" customWidth="1"/>
    <col min="6660" max="6660" width="42.26953125" customWidth="1"/>
    <col min="6663" max="6664" width="8.7265625" bestFit="1" customWidth="1"/>
    <col min="6665" max="6665" width="10.26953125" bestFit="1" customWidth="1"/>
    <col min="6666" max="6666" width="20.453125" customWidth="1"/>
    <col min="6667" max="6667" width="22.54296875" customWidth="1"/>
    <col min="6913" max="6913" width="2.81640625" customWidth="1"/>
    <col min="6915" max="6915" width="12.7265625" bestFit="1" customWidth="1"/>
    <col min="6916" max="6916" width="42.26953125" customWidth="1"/>
    <col min="6919" max="6920" width="8.7265625" bestFit="1" customWidth="1"/>
    <col min="6921" max="6921" width="10.26953125" bestFit="1" customWidth="1"/>
    <col min="6922" max="6922" width="20.453125" customWidth="1"/>
    <col min="6923" max="6923" width="22.54296875" customWidth="1"/>
    <col min="7169" max="7169" width="2.81640625" customWidth="1"/>
    <col min="7171" max="7171" width="12.7265625" bestFit="1" customWidth="1"/>
    <col min="7172" max="7172" width="42.26953125" customWidth="1"/>
    <col min="7175" max="7176" width="8.7265625" bestFit="1" customWidth="1"/>
    <col min="7177" max="7177" width="10.26953125" bestFit="1" customWidth="1"/>
    <col min="7178" max="7178" width="20.453125" customWidth="1"/>
    <col min="7179" max="7179" width="22.54296875" customWidth="1"/>
    <col min="7425" max="7425" width="2.81640625" customWidth="1"/>
    <col min="7427" max="7427" width="12.7265625" bestFit="1" customWidth="1"/>
    <col min="7428" max="7428" width="42.26953125" customWidth="1"/>
    <col min="7431" max="7432" width="8.7265625" bestFit="1" customWidth="1"/>
    <col min="7433" max="7433" width="10.26953125" bestFit="1" customWidth="1"/>
    <col min="7434" max="7434" width="20.453125" customWidth="1"/>
    <col min="7435" max="7435" width="22.54296875" customWidth="1"/>
    <col min="7681" max="7681" width="2.81640625" customWidth="1"/>
    <col min="7683" max="7683" width="12.7265625" bestFit="1" customWidth="1"/>
    <col min="7684" max="7684" width="42.26953125" customWidth="1"/>
    <col min="7687" max="7688" width="8.7265625" bestFit="1" customWidth="1"/>
    <col min="7689" max="7689" width="10.26953125" bestFit="1" customWidth="1"/>
    <col min="7690" max="7690" width="20.453125" customWidth="1"/>
    <col min="7691" max="7691" width="22.54296875" customWidth="1"/>
    <col min="7937" max="7937" width="2.81640625" customWidth="1"/>
    <col min="7939" max="7939" width="12.7265625" bestFit="1" customWidth="1"/>
    <col min="7940" max="7940" width="42.26953125" customWidth="1"/>
    <col min="7943" max="7944" width="8.7265625" bestFit="1" customWidth="1"/>
    <col min="7945" max="7945" width="10.26953125" bestFit="1" customWidth="1"/>
    <col min="7946" max="7946" width="20.453125" customWidth="1"/>
    <col min="7947" max="7947" width="22.54296875" customWidth="1"/>
    <col min="8193" max="8193" width="2.81640625" customWidth="1"/>
    <col min="8195" max="8195" width="12.7265625" bestFit="1" customWidth="1"/>
    <col min="8196" max="8196" width="42.26953125" customWidth="1"/>
    <col min="8199" max="8200" width="8.7265625" bestFit="1" customWidth="1"/>
    <col min="8201" max="8201" width="10.26953125" bestFit="1" customWidth="1"/>
    <col min="8202" max="8202" width="20.453125" customWidth="1"/>
    <col min="8203" max="8203" width="22.54296875" customWidth="1"/>
    <col min="8449" max="8449" width="2.81640625" customWidth="1"/>
    <col min="8451" max="8451" width="12.7265625" bestFit="1" customWidth="1"/>
    <col min="8452" max="8452" width="42.26953125" customWidth="1"/>
    <col min="8455" max="8456" width="8.7265625" bestFit="1" customWidth="1"/>
    <col min="8457" max="8457" width="10.26953125" bestFit="1" customWidth="1"/>
    <col min="8458" max="8458" width="20.453125" customWidth="1"/>
    <col min="8459" max="8459" width="22.54296875" customWidth="1"/>
    <col min="8705" max="8705" width="2.81640625" customWidth="1"/>
    <col min="8707" max="8707" width="12.7265625" bestFit="1" customWidth="1"/>
    <col min="8708" max="8708" width="42.26953125" customWidth="1"/>
    <col min="8711" max="8712" width="8.7265625" bestFit="1" customWidth="1"/>
    <col min="8713" max="8713" width="10.26953125" bestFit="1" customWidth="1"/>
    <col min="8714" max="8714" width="20.453125" customWidth="1"/>
    <col min="8715" max="8715" width="22.54296875" customWidth="1"/>
    <col min="8961" max="8961" width="2.81640625" customWidth="1"/>
    <col min="8963" max="8963" width="12.7265625" bestFit="1" customWidth="1"/>
    <col min="8964" max="8964" width="42.26953125" customWidth="1"/>
    <col min="8967" max="8968" width="8.7265625" bestFit="1" customWidth="1"/>
    <col min="8969" max="8969" width="10.26953125" bestFit="1" customWidth="1"/>
    <col min="8970" max="8970" width="20.453125" customWidth="1"/>
    <col min="8971" max="8971" width="22.54296875" customWidth="1"/>
    <col min="9217" max="9217" width="2.81640625" customWidth="1"/>
    <col min="9219" max="9219" width="12.7265625" bestFit="1" customWidth="1"/>
    <col min="9220" max="9220" width="42.26953125" customWidth="1"/>
    <col min="9223" max="9224" width="8.7265625" bestFit="1" customWidth="1"/>
    <col min="9225" max="9225" width="10.26953125" bestFit="1" customWidth="1"/>
    <col min="9226" max="9226" width="20.453125" customWidth="1"/>
    <col min="9227" max="9227" width="22.54296875" customWidth="1"/>
    <col min="9473" max="9473" width="2.81640625" customWidth="1"/>
    <col min="9475" max="9475" width="12.7265625" bestFit="1" customWidth="1"/>
    <col min="9476" max="9476" width="42.26953125" customWidth="1"/>
    <col min="9479" max="9480" width="8.7265625" bestFit="1" customWidth="1"/>
    <col min="9481" max="9481" width="10.26953125" bestFit="1" customWidth="1"/>
    <col min="9482" max="9482" width="20.453125" customWidth="1"/>
    <col min="9483" max="9483" width="22.54296875" customWidth="1"/>
    <col min="9729" max="9729" width="2.81640625" customWidth="1"/>
    <col min="9731" max="9731" width="12.7265625" bestFit="1" customWidth="1"/>
    <col min="9732" max="9732" width="42.26953125" customWidth="1"/>
    <col min="9735" max="9736" width="8.7265625" bestFit="1" customWidth="1"/>
    <col min="9737" max="9737" width="10.26953125" bestFit="1" customWidth="1"/>
    <col min="9738" max="9738" width="20.453125" customWidth="1"/>
    <col min="9739" max="9739" width="22.54296875" customWidth="1"/>
    <col min="9985" max="9985" width="2.81640625" customWidth="1"/>
    <col min="9987" max="9987" width="12.7265625" bestFit="1" customWidth="1"/>
    <col min="9988" max="9988" width="42.26953125" customWidth="1"/>
    <col min="9991" max="9992" width="8.7265625" bestFit="1" customWidth="1"/>
    <col min="9993" max="9993" width="10.26953125" bestFit="1" customWidth="1"/>
    <col min="9994" max="9994" width="20.453125" customWidth="1"/>
    <col min="9995" max="9995" width="22.54296875" customWidth="1"/>
    <col min="10241" max="10241" width="2.81640625" customWidth="1"/>
    <col min="10243" max="10243" width="12.7265625" bestFit="1" customWidth="1"/>
    <col min="10244" max="10244" width="42.26953125" customWidth="1"/>
    <col min="10247" max="10248" width="8.7265625" bestFit="1" customWidth="1"/>
    <col min="10249" max="10249" width="10.26953125" bestFit="1" customWidth="1"/>
    <col min="10250" max="10250" width="20.453125" customWidth="1"/>
    <col min="10251" max="10251" width="22.54296875" customWidth="1"/>
    <col min="10497" max="10497" width="2.81640625" customWidth="1"/>
    <col min="10499" max="10499" width="12.7265625" bestFit="1" customWidth="1"/>
    <col min="10500" max="10500" width="42.26953125" customWidth="1"/>
    <col min="10503" max="10504" width="8.7265625" bestFit="1" customWidth="1"/>
    <col min="10505" max="10505" width="10.26953125" bestFit="1" customWidth="1"/>
    <col min="10506" max="10506" width="20.453125" customWidth="1"/>
    <col min="10507" max="10507" width="22.54296875" customWidth="1"/>
    <col min="10753" max="10753" width="2.81640625" customWidth="1"/>
    <col min="10755" max="10755" width="12.7265625" bestFit="1" customWidth="1"/>
    <col min="10756" max="10756" width="42.26953125" customWidth="1"/>
    <col min="10759" max="10760" width="8.7265625" bestFit="1" customWidth="1"/>
    <col min="10761" max="10761" width="10.26953125" bestFit="1" customWidth="1"/>
    <col min="10762" max="10762" width="20.453125" customWidth="1"/>
    <col min="10763" max="10763" width="22.54296875" customWidth="1"/>
    <col min="11009" max="11009" width="2.81640625" customWidth="1"/>
    <col min="11011" max="11011" width="12.7265625" bestFit="1" customWidth="1"/>
    <col min="11012" max="11012" width="42.26953125" customWidth="1"/>
    <col min="11015" max="11016" width="8.7265625" bestFit="1" customWidth="1"/>
    <col min="11017" max="11017" width="10.26953125" bestFit="1" customWidth="1"/>
    <col min="11018" max="11018" width="20.453125" customWidth="1"/>
    <col min="11019" max="11019" width="22.54296875" customWidth="1"/>
    <col min="11265" max="11265" width="2.81640625" customWidth="1"/>
    <col min="11267" max="11267" width="12.7265625" bestFit="1" customWidth="1"/>
    <col min="11268" max="11268" width="42.26953125" customWidth="1"/>
    <col min="11271" max="11272" width="8.7265625" bestFit="1" customWidth="1"/>
    <col min="11273" max="11273" width="10.26953125" bestFit="1" customWidth="1"/>
    <col min="11274" max="11274" width="20.453125" customWidth="1"/>
    <col min="11275" max="11275" width="22.54296875" customWidth="1"/>
    <col min="11521" max="11521" width="2.81640625" customWidth="1"/>
    <col min="11523" max="11523" width="12.7265625" bestFit="1" customWidth="1"/>
    <col min="11524" max="11524" width="42.26953125" customWidth="1"/>
    <col min="11527" max="11528" width="8.7265625" bestFit="1" customWidth="1"/>
    <col min="11529" max="11529" width="10.26953125" bestFit="1" customWidth="1"/>
    <col min="11530" max="11530" width="20.453125" customWidth="1"/>
    <col min="11531" max="11531" width="22.54296875" customWidth="1"/>
    <col min="11777" max="11777" width="2.81640625" customWidth="1"/>
    <col min="11779" max="11779" width="12.7265625" bestFit="1" customWidth="1"/>
    <col min="11780" max="11780" width="42.26953125" customWidth="1"/>
    <col min="11783" max="11784" width="8.7265625" bestFit="1" customWidth="1"/>
    <col min="11785" max="11785" width="10.26953125" bestFit="1" customWidth="1"/>
    <col min="11786" max="11786" width="20.453125" customWidth="1"/>
    <col min="11787" max="11787" width="22.54296875" customWidth="1"/>
    <col min="12033" max="12033" width="2.81640625" customWidth="1"/>
    <col min="12035" max="12035" width="12.7265625" bestFit="1" customWidth="1"/>
    <col min="12036" max="12036" width="42.26953125" customWidth="1"/>
    <col min="12039" max="12040" width="8.7265625" bestFit="1" customWidth="1"/>
    <col min="12041" max="12041" width="10.26953125" bestFit="1" customWidth="1"/>
    <col min="12042" max="12042" width="20.453125" customWidth="1"/>
    <col min="12043" max="12043" width="22.54296875" customWidth="1"/>
    <col min="12289" max="12289" width="2.81640625" customWidth="1"/>
    <col min="12291" max="12291" width="12.7265625" bestFit="1" customWidth="1"/>
    <col min="12292" max="12292" width="42.26953125" customWidth="1"/>
    <col min="12295" max="12296" width="8.7265625" bestFit="1" customWidth="1"/>
    <col min="12297" max="12297" width="10.26953125" bestFit="1" customWidth="1"/>
    <col min="12298" max="12298" width="20.453125" customWidth="1"/>
    <col min="12299" max="12299" width="22.54296875" customWidth="1"/>
    <col min="12545" max="12545" width="2.81640625" customWidth="1"/>
    <col min="12547" max="12547" width="12.7265625" bestFit="1" customWidth="1"/>
    <col min="12548" max="12548" width="42.26953125" customWidth="1"/>
    <col min="12551" max="12552" width="8.7265625" bestFit="1" customWidth="1"/>
    <col min="12553" max="12553" width="10.26953125" bestFit="1" customWidth="1"/>
    <col min="12554" max="12554" width="20.453125" customWidth="1"/>
    <col min="12555" max="12555" width="22.54296875" customWidth="1"/>
    <col min="12801" max="12801" width="2.81640625" customWidth="1"/>
    <col min="12803" max="12803" width="12.7265625" bestFit="1" customWidth="1"/>
    <col min="12804" max="12804" width="42.26953125" customWidth="1"/>
    <col min="12807" max="12808" width="8.7265625" bestFit="1" customWidth="1"/>
    <col min="12809" max="12809" width="10.26953125" bestFit="1" customWidth="1"/>
    <col min="12810" max="12810" width="20.453125" customWidth="1"/>
    <col min="12811" max="12811" width="22.54296875" customWidth="1"/>
    <col min="13057" max="13057" width="2.81640625" customWidth="1"/>
    <col min="13059" max="13059" width="12.7265625" bestFit="1" customWidth="1"/>
    <col min="13060" max="13060" width="42.26953125" customWidth="1"/>
    <col min="13063" max="13064" width="8.7265625" bestFit="1" customWidth="1"/>
    <col min="13065" max="13065" width="10.26953125" bestFit="1" customWidth="1"/>
    <col min="13066" max="13066" width="20.453125" customWidth="1"/>
    <col min="13067" max="13067" width="22.54296875" customWidth="1"/>
    <col min="13313" max="13313" width="2.81640625" customWidth="1"/>
    <col min="13315" max="13315" width="12.7265625" bestFit="1" customWidth="1"/>
    <col min="13316" max="13316" width="42.26953125" customWidth="1"/>
    <col min="13319" max="13320" width="8.7265625" bestFit="1" customWidth="1"/>
    <col min="13321" max="13321" width="10.26953125" bestFit="1" customWidth="1"/>
    <col min="13322" max="13322" width="20.453125" customWidth="1"/>
    <col min="13323" max="13323" width="22.54296875" customWidth="1"/>
    <col min="13569" max="13569" width="2.81640625" customWidth="1"/>
    <col min="13571" max="13571" width="12.7265625" bestFit="1" customWidth="1"/>
    <col min="13572" max="13572" width="42.26953125" customWidth="1"/>
    <col min="13575" max="13576" width="8.7265625" bestFit="1" customWidth="1"/>
    <col min="13577" max="13577" width="10.26953125" bestFit="1" customWidth="1"/>
    <col min="13578" max="13578" width="20.453125" customWidth="1"/>
    <col min="13579" max="13579" width="22.54296875" customWidth="1"/>
    <col min="13825" max="13825" width="2.81640625" customWidth="1"/>
    <col min="13827" max="13827" width="12.7265625" bestFit="1" customWidth="1"/>
    <col min="13828" max="13828" width="42.26953125" customWidth="1"/>
    <col min="13831" max="13832" width="8.7265625" bestFit="1" customWidth="1"/>
    <col min="13833" max="13833" width="10.26953125" bestFit="1" customWidth="1"/>
    <col min="13834" max="13834" width="20.453125" customWidth="1"/>
    <col min="13835" max="13835" width="22.54296875" customWidth="1"/>
    <col min="14081" max="14081" width="2.81640625" customWidth="1"/>
    <col min="14083" max="14083" width="12.7265625" bestFit="1" customWidth="1"/>
    <col min="14084" max="14084" width="42.26953125" customWidth="1"/>
    <col min="14087" max="14088" width="8.7265625" bestFit="1" customWidth="1"/>
    <col min="14089" max="14089" width="10.26953125" bestFit="1" customWidth="1"/>
    <col min="14090" max="14090" width="20.453125" customWidth="1"/>
    <col min="14091" max="14091" width="22.54296875" customWidth="1"/>
    <col min="14337" max="14337" width="2.81640625" customWidth="1"/>
    <col min="14339" max="14339" width="12.7265625" bestFit="1" customWidth="1"/>
    <col min="14340" max="14340" width="42.26953125" customWidth="1"/>
    <col min="14343" max="14344" width="8.7265625" bestFit="1" customWidth="1"/>
    <col min="14345" max="14345" width="10.26953125" bestFit="1" customWidth="1"/>
    <col min="14346" max="14346" width="20.453125" customWidth="1"/>
    <col min="14347" max="14347" width="22.54296875" customWidth="1"/>
    <col min="14593" max="14593" width="2.81640625" customWidth="1"/>
    <col min="14595" max="14595" width="12.7265625" bestFit="1" customWidth="1"/>
    <col min="14596" max="14596" width="42.26953125" customWidth="1"/>
    <col min="14599" max="14600" width="8.7265625" bestFit="1" customWidth="1"/>
    <col min="14601" max="14601" width="10.26953125" bestFit="1" customWidth="1"/>
    <col min="14602" max="14602" width="20.453125" customWidth="1"/>
    <col min="14603" max="14603" width="22.54296875" customWidth="1"/>
    <col min="14849" max="14849" width="2.81640625" customWidth="1"/>
    <col min="14851" max="14851" width="12.7265625" bestFit="1" customWidth="1"/>
    <col min="14852" max="14852" width="42.26953125" customWidth="1"/>
    <col min="14855" max="14856" width="8.7265625" bestFit="1" customWidth="1"/>
    <col min="14857" max="14857" width="10.26953125" bestFit="1" customWidth="1"/>
    <col min="14858" max="14858" width="20.453125" customWidth="1"/>
    <col min="14859" max="14859" width="22.54296875" customWidth="1"/>
    <col min="15105" max="15105" width="2.81640625" customWidth="1"/>
    <col min="15107" max="15107" width="12.7265625" bestFit="1" customWidth="1"/>
    <col min="15108" max="15108" width="42.26953125" customWidth="1"/>
    <col min="15111" max="15112" width="8.7265625" bestFit="1" customWidth="1"/>
    <col min="15113" max="15113" width="10.26953125" bestFit="1" customWidth="1"/>
    <col min="15114" max="15114" width="20.453125" customWidth="1"/>
    <col min="15115" max="15115" width="22.54296875" customWidth="1"/>
    <col min="15361" max="15361" width="2.81640625" customWidth="1"/>
    <col min="15363" max="15363" width="12.7265625" bestFit="1" customWidth="1"/>
    <col min="15364" max="15364" width="42.26953125" customWidth="1"/>
    <col min="15367" max="15368" width="8.7265625" bestFit="1" customWidth="1"/>
    <col min="15369" max="15369" width="10.26953125" bestFit="1" customWidth="1"/>
    <col min="15370" max="15370" width="20.453125" customWidth="1"/>
    <col min="15371" max="15371" width="22.54296875" customWidth="1"/>
    <col min="15617" max="15617" width="2.81640625" customWidth="1"/>
    <col min="15619" max="15619" width="12.7265625" bestFit="1" customWidth="1"/>
    <col min="15620" max="15620" width="42.26953125" customWidth="1"/>
    <col min="15623" max="15624" width="8.7265625" bestFit="1" customWidth="1"/>
    <col min="15625" max="15625" width="10.26953125" bestFit="1" customWidth="1"/>
    <col min="15626" max="15626" width="20.453125" customWidth="1"/>
    <col min="15627" max="15627" width="22.54296875" customWidth="1"/>
    <col min="15873" max="15873" width="2.81640625" customWidth="1"/>
    <col min="15875" max="15875" width="12.7265625" bestFit="1" customWidth="1"/>
    <col min="15876" max="15876" width="42.26953125" customWidth="1"/>
    <col min="15879" max="15880" width="8.7265625" bestFit="1" customWidth="1"/>
    <col min="15881" max="15881" width="10.26953125" bestFit="1" customWidth="1"/>
    <col min="15882" max="15882" width="20.453125" customWidth="1"/>
    <col min="15883" max="15883" width="22.54296875" customWidth="1"/>
    <col min="16129" max="16129" width="2.81640625" customWidth="1"/>
    <col min="16131" max="16131" width="12.7265625" bestFit="1" customWidth="1"/>
    <col min="16132" max="16132" width="42.26953125" customWidth="1"/>
    <col min="16135" max="16136" width="8.7265625" bestFit="1" customWidth="1"/>
    <col min="16137" max="16137" width="10.26953125" bestFit="1" customWidth="1"/>
    <col min="16138" max="16138" width="20.453125" customWidth="1"/>
    <col min="16139" max="16139" width="22.54296875" customWidth="1"/>
  </cols>
  <sheetData>
    <row r="1" spans="1:21" ht="23.25" customHeight="1" x14ac:dyDescent="0.4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</row>
    <row r="2" spans="1:21" ht="23.25" customHeigh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21" ht="18" customHeight="1" thickBot="1" x14ac:dyDescent="0.4">
      <c r="A3" s="66" t="s">
        <v>57</v>
      </c>
      <c r="B3" s="66"/>
      <c r="C3" s="66"/>
      <c r="D3" s="3"/>
      <c r="E3" s="3"/>
      <c r="F3" s="4"/>
      <c r="G3" s="4"/>
      <c r="H3" s="4"/>
      <c r="I3" s="4"/>
      <c r="J3" s="4"/>
      <c r="K3" s="4"/>
      <c r="L3" s="4"/>
      <c r="M3" s="4"/>
      <c r="N3" s="5"/>
      <c r="O3" s="5"/>
      <c r="P3" s="5"/>
      <c r="Q3" s="5"/>
      <c r="R3" s="5"/>
    </row>
    <row r="4" spans="1:21" ht="18.75" customHeight="1" thickBot="1" x14ac:dyDescent="0.4">
      <c r="A4" s="6" t="s">
        <v>66</v>
      </c>
      <c r="B4" s="7"/>
      <c r="C4" s="8"/>
      <c r="D4" s="8"/>
      <c r="E4" s="8"/>
      <c r="F4" s="4"/>
      <c r="G4" s="4"/>
      <c r="H4" s="4"/>
      <c r="I4" s="4"/>
      <c r="J4" s="4"/>
      <c r="K4" s="4"/>
      <c r="L4" s="4"/>
      <c r="M4" s="4"/>
      <c r="N4" s="5"/>
      <c r="O4" s="9"/>
      <c r="P4" s="10"/>
      <c r="Q4" s="10"/>
      <c r="R4" s="10"/>
      <c r="T4" s="67" t="s">
        <v>1</v>
      </c>
      <c r="U4" s="69" t="s">
        <v>2</v>
      </c>
    </row>
    <row r="5" spans="1:21" ht="44.5" customHeight="1" thickBot="1" x14ac:dyDescent="0.4">
      <c r="A5" s="11" t="s">
        <v>3</v>
      </c>
      <c r="B5" s="12" t="s">
        <v>4</v>
      </c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  <c r="I5" s="12" t="s">
        <v>11</v>
      </c>
      <c r="J5" s="12" t="s">
        <v>12</v>
      </c>
      <c r="K5" s="11" t="s">
        <v>13</v>
      </c>
      <c r="L5" s="12" t="s">
        <v>63</v>
      </c>
      <c r="M5" s="49" t="s">
        <v>14</v>
      </c>
      <c r="N5" s="13" t="s">
        <v>15</v>
      </c>
      <c r="O5" s="14" t="s">
        <v>16</v>
      </c>
      <c r="P5" s="15" t="s">
        <v>17</v>
      </c>
      <c r="Q5" s="15" t="s">
        <v>18</v>
      </c>
      <c r="R5" s="15" t="s">
        <v>19</v>
      </c>
      <c r="T5" s="68"/>
      <c r="U5" s="70"/>
    </row>
    <row r="6" spans="1:21" ht="26" customHeight="1" thickBot="1" x14ac:dyDescent="0.4">
      <c r="A6" s="54"/>
      <c r="B6" s="55"/>
      <c r="C6" s="56"/>
      <c r="D6" s="56"/>
      <c r="E6" s="56"/>
      <c r="F6" s="56"/>
      <c r="G6" s="63">
        <v>33333</v>
      </c>
      <c r="H6" s="63">
        <v>22917</v>
      </c>
      <c r="I6" s="63">
        <v>25000</v>
      </c>
      <c r="J6" s="63">
        <v>33333</v>
      </c>
      <c r="K6" s="63">
        <v>29167</v>
      </c>
      <c r="L6" s="63">
        <v>15000</v>
      </c>
      <c r="M6" s="63"/>
      <c r="N6" s="64">
        <f>SUM(F6:M6)</f>
        <v>158750</v>
      </c>
      <c r="O6" s="14"/>
      <c r="P6" s="15"/>
      <c r="Q6" s="15"/>
      <c r="R6" s="15"/>
      <c r="T6" s="57"/>
      <c r="U6" s="58"/>
    </row>
    <row r="7" spans="1:21" ht="21.75" customHeight="1" x14ac:dyDescent="0.35">
      <c r="A7" s="61">
        <v>1</v>
      </c>
      <c r="B7" s="62" t="s">
        <v>20</v>
      </c>
      <c r="C7" s="16" t="s">
        <v>21</v>
      </c>
      <c r="D7" s="16" t="s">
        <v>22</v>
      </c>
      <c r="E7" s="17" t="s">
        <v>23</v>
      </c>
      <c r="F7" s="53">
        <v>7</v>
      </c>
      <c r="G7" s="53">
        <v>15</v>
      </c>
      <c r="H7" s="53">
        <v>11</v>
      </c>
      <c r="I7" s="53">
        <v>22</v>
      </c>
      <c r="J7" s="53">
        <v>15</v>
      </c>
      <c r="K7" s="59">
        <v>20</v>
      </c>
      <c r="L7" s="53">
        <v>11</v>
      </c>
      <c r="M7" s="60">
        <f>(F7+G7+H7+I7+J7+K7)*0.05</f>
        <v>4.5</v>
      </c>
      <c r="N7" s="18">
        <f>SUM(F7:M7)</f>
        <v>105.5</v>
      </c>
      <c r="O7" s="19">
        <v>750</v>
      </c>
      <c r="P7" s="20">
        <f t="shared" ref="P7:P25" si="0">N7*O7</f>
        <v>79125</v>
      </c>
      <c r="Q7" s="21" t="s">
        <v>24</v>
      </c>
      <c r="R7" s="22" t="s">
        <v>25</v>
      </c>
      <c r="T7" s="23"/>
      <c r="U7" s="24">
        <f>T7-N7</f>
        <v>-105.5</v>
      </c>
    </row>
    <row r="8" spans="1:21" ht="21.75" customHeight="1" x14ac:dyDescent="0.35">
      <c r="A8" s="25">
        <v>2</v>
      </c>
      <c r="B8" s="26" t="s">
        <v>20</v>
      </c>
      <c r="C8" s="16" t="s">
        <v>26</v>
      </c>
      <c r="D8" s="16" t="s">
        <v>22</v>
      </c>
      <c r="E8" s="17"/>
      <c r="F8" s="27">
        <v>2</v>
      </c>
      <c r="G8" s="27"/>
      <c r="H8" s="27"/>
      <c r="I8" s="27">
        <v>1</v>
      </c>
      <c r="J8" s="27">
        <v>2</v>
      </c>
      <c r="K8" s="28"/>
      <c r="L8" s="27"/>
      <c r="M8" s="50">
        <f t="shared" ref="M8:M27" si="1">(F8+G8+H8+I8+J8+K8)*0.05</f>
        <v>0.25</v>
      </c>
      <c r="N8" s="29">
        <f>SUM(F8:M8)</f>
        <v>5.25</v>
      </c>
      <c r="O8" s="19">
        <v>2850</v>
      </c>
      <c r="P8" s="20">
        <f t="shared" si="0"/>
        <v>14962.5</v>
      </c>
      <c r="Q8" s="21" t="s">
        <v>24</v>
      </c>
      <c r="R8" s="30" t="s">
        <v>27</v>
      </c>
      <c r="T8" s="31"/>
      <c r="U8" s="32">
        <f t="shared" ref="U8:U27" si="2">T8-N8</f>
        <v>-5.25</v>
      </c>
    </row>
    <row r="9" spans="1:21" ht="21.75" customHeight="1" x14ac:dyDescent="0.35">
      <c r="A9" s="25">
        <v>3</v>
      </c>
      <c r="B9" s="26" t="s">
        <v>20</v>
      </c>
      <c r="C9" s="16" t="s">
        <v>64</v>
      </c>
      <c r="D9" s="16" t="s">
        <v>22</v>
      </c>
      <c r="E9" s="17"/>
      <c r="F9" s="27">
        <v>2</v>
      </c>
      <c r="G9" s="27"/>
      <c r="H9" s="27"/>
      <c r="I9" s="27"/>
      <c r="J9" s="27"/>
      <c r="K9" s="28"/>
      <c r="L9" s="27">
        <v>4</v>
      </c>
      <c r="M9" s="50">
        <f t="shared" si="1"/>
        <v>0.1</v>
      </c>
      <c r="N9" s="29">
        <f>SUM(F9:M9)</f>
        <v>6.1</v>
      </c>
      <c r="O9" s="19"/>
      <c r="P9" s="20"/>
      <c r="Q9" s="21"/>
      <c r="R9" s="30"/>
      <c r="T9" s="31"/>
      <c r="U9" s="32"/>
    </row>
    <row r="10" spans="1:21" ht="21.75" customHeight="1" x14ac:dyDescent="0.35">
      <c r="A10" s="25">
        <v>4</v>
      </c>
      <c r="B10" s="26" t="s">
        <v>20</v>
      </c>
      <c r="C10" s="16" t="s">
        <v>28</v>
      </c>
      <c r="D10" s="16" t="s">
        <v>22</v>
      </c>
      <c r="E10" s="17"/>
      <c r="F10" s="27">
        <v>3</v>
      </c>
      <c r="G10" s="27">
        <v>7</v>
      </c>
      <c r="H10" s="27">
        <v>2</v>
      </c>
      <c r="I10" s="27">
        <v>4</v>
      </c>
      <c r="J10" s="27"/>
      <c r="K10" s="28">
        <v>10</v>
      </c>
      <c r="L10" s="27"/>
      <c r="M10" s="50">
        <f t="shared" si="1"/>
        <v>1.3</v>
      </c>
      <c r="N10" s="29">
        <f t="shared" ref="N10:N27" si="3">SUM(F10:M10)</f>
        <v>27.3</v>
      </c>
      <c r="O10" s="19">
        <v>2465</v>
      </c>
      <c r="P10" s="20">
        <f t="shared" si="0"/>
        <v>67294.5</v>
      </c>
      <c r="Q10" s="21" t="s">
        <v>24</v>
      </c>
      <c r="R10" s="22" t="s">
        <v>29</v>
      </c>
      <c r="T10" s="31"/>
      <c r="U10" s="32">
        <f t="shared" si="2"/>
        <v>-27.3</v>
      </c>
    </row>
    <row r="11" spans="1:21" ht="21.75" customHeight="1" x14ac:dyDescent="0.35">
      <c r="A11" s="25">
        <v>5</v>
      </c>
      <c r="B11" s="26" t="s">
        <v>20</v>
      </c>
      <c r="C11" s="16" t="s">
        <v>58</v>
      </c>
      <c r="D11" s="16" t="s">
        <v>22</v>
      </c>
      <c r="E11" s="17"/>
      <c r="F11" s="27">
        <v>1</v>
      </c>
      <c r="G11" s="27">
        <v>2</v>
      </c>
      <c r="H11" s="27"/>
      <c r="I11" s="27"/>
      <c r="J11" s="27"/>
      <c r="K11" s="28"/>
      <c r="L11" s="27"/>
      <c r="M11" s="50">
        <f t="shared" si="1"/>
        <v>0.15000000000000002</v>
      </c>
      <c r="N11" s="29">
        <f t="shared" si="3"/>
        <v>3.15</v>
      </c>
      <c r="O11" s="19"/>
      <c r="P11" s="20"/>
      <c r="Q11" s="21"/>
      <c r="R11" s="22"/>
      <c r="T11" s="31"/>
      <c r="U11" s="32"/>
    </row>
    <row r="12" spans="1:21" ht="21.75" customHeight="1" x14ac:dyDescent="0.35">
      <c r="A12" s="25">
        <v>6</v>
      </c>
      <c r="B12" s="26" t="s">
        <v>20</v>
      </c>
      <c r="C12" s="17" t="s">
        <v>30</v>
      </c>
      <c r="D12" s="17" t="s">
        <v>31</v>
      </c>
      <c r="E12" s="17"/>
      <c r="F12" s="27">
        <v>4</v>
      </c>
      <c r="G12" s="27"/>
      <c r="H12" s="27"/>
      <c r="I12" s="27"/>
      <c r="J12" s="27">
        <v>7</v>
      </c>
      <c r="K12" s="28">
        <v>12</v>
      </c>
      <c r="L12" s="27">
        <v>2</v>
      </c>
      <c r="M12" s="50">
        <f t="shared" si="1"/>
        <v>1.1500000000000001</v>
      </c>
      <c r="N12" s="29">
        <f t="shared" si="3"/>
        <v>26.15</v>
      </c>
      <c r="O12" s="33"/>
      <c r="P12" s="34"/>
      <c r="Q12" s="35" t="s">
        <v>24</v>
      </c>
      <c r="R12" s="36" t="s">
        <v>32</v>
      </c>
      <c r="T12" s="31"/>
      <c r="U12" s="32">
        <f t="shared" si="2"/>
        <v>-26.15</v>
      </c>
    </row>
    <row r="13" spans="1:21" ht="21.75" customHeight="1" x14ac:dyDescent="0.35">
      <c r="A13" s="25">
        <v>7</v>
      </c>
      <c r="B13" s="26" t="s">
        <v>20</v>
      </c>
      <c r="C13" s="17" t="s">
        <v>33</v>
      </c>
      <c r="D13" s="17" t="s">
        <v>31</v>
      </c>
      <c r="E13" s="17" t="s">
        <v>34</v>
      </c>
      <c r="F13" s="27">
        <v>3</v>
      </c>
      <c r="G13" s="27"/>
      <c r="H13" s="27"/>
      <c r="I13" s="27"/>
      <c r="J13" s="27">
        <v>3</v>
      </c>
      <c r="K13" s="28"/>
      <c r="L13" s="27"/>
      <c r="M13" s="50">
        <f t="shared" si="1"/>
        <v>0.30000000000000004</v>
      </c>
      <c r="N13" s="29">
        <f t="shared" si="3"/>
        <v>6.3</v>
      </c>
      <c r="O13" s="19">
        <v>1180</v>
      </c>
      <c r="P13" s="20">
        <f t="shared" si="0"/>
        <v>7434</v>
      </c>
      <c r="Q13" s="21" t="s">
        <v>35</v>
      </c>
      <c r="R13" s="30" t="s">
        <v>36</v>
      </c>
      <c r="T13" s="31"/>
      <c r="U13" s="32">
        <f t="shared" si="2"/>
        <v>-6.3</v>
      </c>
    </row>
    <row r="14" spans="1:21" ht="21.75" customHeight="1" x14ac:dyDescent="0.35">
      <c r="A14" s="25">
        <v>8</v>
      </c>
      <c r="B14" s="26" t="s">
        <v>20</v>
      </c>
      <c r="C14" s="17" t="s">
        <v>59</v>
      </c>
      <c r="D14" s="17" t="s">
        <v>31</v>
      </c>
      <c r="E14" s="17"/>
      <c r="F14" s="27">
        <v>2</v>
      </c>
      <c r="G14" s="27"/>
      <c r="H14" s="27">
        <v>2</v>
      </c>
      <c r="I14" s="27">
        <v>6</v>
      </c>
      <c r="J14" s="27"/>
      <c r="K14" s="28">
        <v>7</v>
      </c>
      <c r="L14" s="27">
        <v>4</v>
      </c>
      <c r="M14" s="50">
        <f t="shared" si="1"/>
        <v>0.85000000000000009</v>
      </c>
      <c r="N14" s="29">
        <f t="shared" si="3"/>
        <v>21.85</v>
      </c>
      <c r="O14" s="19"/>
      <c r="P14" s="20"/>
      <c r="Q14" s="21"/>
      <c r="R14" s="30"/>
      <c r="T14" s="31"/>
      <c r="U14" s="32"/>
    </row>
    <row r="15" spans="1:21" ht="21.75" customHeight="1" x14ac:dyDescent="0.35">
      <c r="A15" s="25">
        <v>9</v>
      </c>
      <c r="B15" s="26" t="s">
        <v>20</v>
      </c>
      <c r="C15" s="17" t="s">
        <v>60</v>
      </c>
      <c r="D15" s="17" t="s">
        <v>65</v>
      </c>
      <c r="E15" s="17"/>
      <c r="F15" s="27">
        <v>1</v>
      </c>
      <c r="G15" s="27"/>
      <c r="H15" s="27"/>
      <c r="I15" s="27">
        <v>1</v>
      </c>
      <c r="J15" s="27"/>
      <c r="K15" s="28"/>
      <c r="L15" s="27"/>
      <c r="M15" s="50">
        <f t="shared" si="1"/>
        <v>0.1</v>
      </c>
      <c r="N15" s="29">
        <f t="shared" si="3"/>
        <v>2.1</v>
      </c>
      <c r="O15" s="19"/>
      <c r="P15" s="20"/>
      <c r="Q15" s="21"/>
      <c r="R15" s="30"/>
      <c r="T15" s="31"/>
      <c r="U15" s="32"/>
    </row>
    <row r="16" spans="1:21" ht="21.75" customHeight="1" x14ac:dyDescent="0.35">
      <c r="A16" s="25">
        <v>10</v>
      </c>
      <c r="B16" s="26" t="s">
        <v>20</v>
      </c>
      <c r="C16" s="17" t="s">
        <v>62</v>
      </c>
      <c r="D16" s="17" t="s">
        <v>31</v>
      </c>
      <c r="E16" s="17"/>
      <c r="F16" s="27">
        <v>2</v>
      </c>
      <c r="G16" s="27"/>
      <c r="H16" s="27"/>
      <c r="I16" s="27">
        <v>3</v>
      </c>
      <c r="J16" s="27"/>
      <c r="K16" s="28">
        <v>6</v>
      </c>
      <c r="L16" s="27"/>
      <c r="M16" s="50">
        <f t="shared" si="1"/>
        <v>0.55000000000000004</v>
      </c>
      <c r="N16" s="29">
        <f t="shared" si="3"/>
        <v>11.55</v>
      </c>
      <c r="O16" s="19"/>
      <c r="P16" s="20"/>
      <c r="Q16" s="21"/>
      <c r="R16" s="30"/>
      <c r="T16" s="31"/>
      <c r="U16" s="32"/>
    </row>
    <row r="17" spans="1:21" ht="21.75" customHeight="1" x14ac:dyDescent="0.35">
      <c r="A17" s="25">
        <v>11</v>
      </c>
      <c r="B17" s="26" t="s">
        <v>20</v>
      </c>
      <c r="C17" s="17" t="s">
        <v>37</v>
      </c>
      <c r="D17" s="17" t="s">
        <v>31</v>
      </c>
      <c r="E17" s="17" t="s">
        <v>38</v>
      </c>
      <c r="F17" s="27">
        <v>2</v>
      </c>
      <c r="G17" s="27"/>
      <c r="H17" s="27"/>
      <c r="I17" s="27"/>
      <c r="J17" s="27">
        <v>2</v>
      </c>
      <c r="K17" s="28"/>
      <c r="L17" s="27"/>
      <c r="M17" s="50">
        <f t="shared" si="1"/>
        <v>0.2</v>
      </c>
      <c r="N17" s="29">
        <f t="shared" si="3"/>
        <v>4.2</v>
      </c>
      <c r="O17" s="19">
        <v>1180</v>
      </c>
      <c r="P17" s="20">
        <f t="shared" si="0"/>
        <v>4956</v>
      </c>
      <c r="Q17" s="21" t="s">
        <v>35</v>
      </c>
      <c r="R17" s="30" t="s">
        <v>39</v>
      </c>
      <c r="T17" s="31"/>
      <c r="U17" s="32">
        <f t="shared" si="2"/>
        <v>-4.2</v>
      </c>
    </row>
    <row r="18" spans="1:21" ht="21.75" customHeight="1" x14ac:dyDescent="0.35">
      <c r="A18" s="25">
        <v>12</v>
      </c>
      <c r="B18" s="26" t="s">
        <v>20</v>
      </c>
      <c r="C18" s="17" t="s">
        <v>40</v>
      </c>
      <c r="D18" s="17" t="s">
        <v>31</v>
      </c>
      <c r="E18" s="17" t="s">
        <v>41</v>
      </c>
      <c r="F18" s="27">
        <v>4</v>
      </c>
      <c r="G18" s="27"/>
      <c r="H18" s="27"/>
      <c r="I18" s="27"/>
      <c r="J18" s="27">
        <v>3</v>
      </c>
      <c r="K18" s="28"/>
      <c r="L18" s="27"/>
      <c r="M18" s="50">
        <f>(F18+G18+H18+I18+J18+K18)*0.05</f>
        <v>0.35000000000000003</v>
      </c>
      <c r="N18" s="29">
        <f t="shared" si="3"/>
        <v>7.35</v>
      </c>
      <c r="O18" s="19">
        <v>5500</v>
      </c>
      <c r="P18" s="20">
        <f t="shared" si="0"/>
        <v>40425</v>
      </c>
      <c r="Q18" s="21" t="s">
        <v>35</v>
      </c>
      <c r="R18" s="30" t="s">
        <v>42</v>
      </c>
      <c r="T18" s="31"/>
      <c r="U18" s="32">
        <f t="shared" si="2"/>
        <v>-7.35</v>
      </c>
    </row>
    <row r="19" spans="1:21" ht="21.75" customHeight="1" x14ac:dyDescent="0.35">
      <c r="A19" s="25">
        <v>13</v>
      </c>
      <c r="B19" s="26" t="s">
        <v>20</v>
      </c>
      <c r="C19" s="17" t="s">
        <v>43</v>
      </c>
      <c r="D19" s="17" t="s">
        <v>31</v>
      </c>
      <c r="E19" s="17" t="s">
        <v>38</v>
      </c>
      <c r="F19" s="27">
        <v>2</v>
      </c>
      <c r="G19" s="27"/>
      <c r="H19" s="27"/>
      <c r="I19" s="27"/>
      <c r="J19" s="27">
        <v>2</v>
      </c>
      <c r="K19" s="28"/>
      <c r="L19" s="27"/>
      <c r="M19" s="50">
        <f t="shared" si="1"/>
        <v>0.2</v>
      </c>
      <c r="N19" s="29">
        <f t="shared" si="3"/>
        <v>4.2</v>
      </c>
      <c r="O19" s="19"/>
      <c r="P19" s="20"/>
      <c r="Q19" s="21"/>
      <c r="R19" s="30"/>
      <c r="T19" s="31"/>
      <c r="U19" s="32">
        <f t="shared" si="2"/>
        <v>-4.2</v>
      </c>
    </row>
    <row r="20" spans="1:21" ht="21.75" customHeight="1" x14ac:dyDescent="0.35">
      <c r="A20" s="25">
        <v>14</v>
      </c>
      <c r="B20" s="26" t="s">
        <v>20</v>
      </c>
      <c r="C20" s="17" t="s">
        <v>44</v>
      </c>
      <c r="D20" s="17" t="s">
        <v>31</v>
      </c>
      <c r="E20" s="37"/>
      <c r="F20" s="27">
        <v>2</v>
      </c>
      <c r="G20" s="27"/>
      <c r="H20" s="27"/>
      <c r="I20" s="27"/>
      <c r="J20" s="27">
        <v>2</v>
      </c>
      <c r="K20" s="28"/>
      <c r="L20" s="27"/>
      <c r="M20" s="50">
        <f t="shared" si="1"/>
        <v>0.2</v>
      </c>
      <c r="N20" s="29">
        <f t="shared" si="3"/>
        <v>4.2</v>
      </c>
      <c r="O20" s="19"/>
      <c r="P20" s="20"/>
      <c r="Q20" s="21"/>
      <c r="R20" s="30"/>
      <c r="T20" s="31"/>
      <c r="U20" s="32">
        <f t="shared" si="2"/>
        <v>-4.2</v>
      </c>
    </row>
    <row r="21" spans="1:21" ht="21.75" customHeight="1" x14ac:dyDescent="0.35">
      <c r="A21" s="25">
        <v>15</v>
      </c>
      <c r="B21" s="26" t="s">
        <v>20</v>
      </c>
      <c r="C21" s="17" t="s">
        <v>45</v>
      </c>
      <c r="D21" s="16" t="s">
        <v>22</v>
      </c>
      <c r="E21" s="37"/>
      <c r="F21" s="27">
        <v>2</v>
      </c>
      <c r="G21" s="27"/>
      <c r="H21" s="27">
        <v>2</v>
      </c>
      <c r="I21" s="27">
        <v>2</v>
      </c>
      <c r="J21" s="27">
        <v>2</v>
      </c>
      <c r="K21" s="28">
        <v>7</v>
      </c>
      <c r="L21" s="27">
        <v>1</v>
      </c>
      <c r="M21" s="50">
        <f t="shared" si="1"/>
        <v>0.75</v>
      </c>
      <c r="N21" s="29">
        <f t="shared" si="3"/>
        <v>16.75</v>
      </c>
      <c r="O21" s="19">
        <v>2350</v>
      </c>
      <c r="P21" s="20">
        <f t="shared" si="0"/>
        <v>39362.5</v>
      </c>
      <c r="Q21" s="21" t="s">
        <v>35</v>
      </c>
      <c r="R21" s="30" t="s">
        <v>46</v>
      </c>
      <c r="S21" s="2"/>
      <c r="T21" s="31"/>
      <c r="U21" s="32">
        <f t="shared" si="2"/>
        <v>-16.75</v>
      </c>
    </row>
    <row r="22" spans="1:21" ht="21.75" customHeight="1" x14ac:dyDescent="0.35">
      <c r="A22" s="25">
        <v>16</v>
      </c>
      <c r="B22" s="26" t="s">
        <v>20</v>
      </c>
      <c r="C22" s="17" t="s">
        <v>47</v>
      </c>
      <c r="D22" s="16" t="s">
        <v>22</v>
      </c>
      <c r="E22" s="37"/>
      <c r="F22" s="27">
        <v>2</v>
      </c>
      <c r="G22" s="27"/>
      <c r="H22" s="27"/>
      <c r="I22" s="27">
        <v>6</v>
      </c>
      <c r="J22" s="27">
        <v>3</v>
      </c>
      <c r="K22" s="28">
        <v>1</v>
      </c>
      <c r="L22" s="27">
        <v>1</v>
      </c>
      <c r="M22" s="50">
        <f t="shared" si="1"/>
        <v>0.60000000000000009</v>
      </c>
      <c r="N22" s="29">
        <f t="shared" si="3"/>
        <v>13.6</v>
      </c>
      <c r="O22" s="19">
        <v>2350</v>
      </c>
      <c r="P22" s="20">
        <f t="shared" si="0"/>
        <v>31960</v>
      </c>
      <c r="Q22" s="21" t="s">
        <v>35</v>
      </c>
      <c r="R22" s="30" t="s">
        <v>48</v>
      </c>
      <c r="T22" s="31"/>
      <c r="U22" s="32">
        <f t="shared" si="2"/>
        <v>-13.6</v>
      </c>
    </row>
    <row r="23" spans="1:21" ht="21.75" customHeight="1" x14ac:dyDescent="0.35">
      <c r="A23" s="25">
        <v>17</v>
      </c>
      <c r="B23" s="26" t="s">
        <v>20</v>
      </c>
      <c r="C23" s="17" t="s">
        <v>49</v>
      </c>
      <c r="D23" s="16" t="s">
        <v>22</v>
      </c>
      <c r="E23" s="37"/>
      <c r="F23" s="27">
        <v>2</v>
      </c>
      <c r="G23" s="27"/>
      <c r="H23" s="27"/>
      <c r="I23" s="27">
        <v>6</v>
      </c>
      <c r="J23" s="27">
        <v>3</v>
      </c>
      <c r="K23" s="28">
        <v>1</v>
      </c>
      <c r="L23" s="27">
        <v>1</v>
      </c>
      <c r="M23" s="50">
        <f>(F23+G23+H23+I23+J23+K23)*0.05</f>
        <v>0.60000000000000009</v>
      </c>
      <c r="N23" s="29">
        <f t="shared" si="3"/>
        <v>13.6</v>
      </c>
      <c r="O23" s="19">
        <v>5700</v>
      </c>
      <c r="P23" s="20">
        <f t="shared" si="0"/>
        <v>77520</v>
      </c>
      <c r="Q23" s="21" t="s">
        <v>35</v>
      </c>
      <c r="R23" s="30" t="s">
        <v>50</v>
      </c>
      <c r="S23" s="2"/>
      <c r="T23" s="31"/>
      <c r="U23" s="32">
        <f>T23-N23</f>
        <v>-13.6</v>
      </c>
    </row>
    <row r="24" spans="1:21" ht="21.75" customHeight="1" x14ac:dyDescent="0.35">
      <c r="A24" s="25">
        <v>18</v>
      </c>
      <c r="B24" s="26" t="s">
        <v>20</v>
      </c>
      <c r="C24" s="17" t="s">
        <v>51</v>
      </c>
      <c r="D24" s="16" t="s">
        <v>22</v>
      </c>
      <c r="E24" s="37"/>
      <c r="F24" s="27">
        <v>2</v>
      </c>
      <c r="G24" s="27">
        <v>2</v>
      </c>
      <c r="H24" s="27">
        <v>1</v>
      </c>
      <c r="I24" s="27"/>
      <c r="J24" s="27"/>
      <c r="K24" s="28">
        <v>3</v>
      </c>
      <c r="L24" s="27"/>
      <c r="M24" s="50">
        <f t="shared" si="1"/>
        <v>0.4</v>
      </c>
      <c r="N24" s="29">
        <f t="shared" si="3"/>
        <v>8.4</v>
      </c>
      <c r="O24" s="33"/>
      <c r="P24" s="34"/>
      <c r="Q24" s="35" t="s">
        <v>35</v>
      </c>
      <c r="R24" s="38"/>
      <c r="T24" s="31"/>
      <c r="U24" s="32">
        <f t="shared" si="2"/>
        <v>-8.4</v>
      </c>
    </row>
    <row r="25" spans="1:21" ht="21.75" customHeight="1" x14ac:dyDescent="0.35">
      <c r="A25" s="25">
        <v>19</v>
      </c>
      <c r="B25" s="26" t="s">
        <v>20</v>
      </c>
      <c r="C25" s="17" t="s">
        <v>52</v>
      </c>
      <c r="D25" s="16"/>
      <c r="E25" s="37"/>
      <c r="F25" s="27">
        <v>2</v>
      </c>
      <c r="G25" s="27">
        <v>4</v>
      </c>
      <c r="H25" s="27"/>
      <c r="I25" s="27"/>
      <c r="J25" s="27"/>
      <c r="K25" s="28"/>
      <c r="L25" s="27"/>
      <c r="M25" s="50">
        <f t="shared" si="1"/>
        <v>0.30000000000000004</v>
      </c>
      <c r="N25" s="29">
        <f t="shared" si="3"/>
        <v>6.3</v>
      </c>
      <c r="O25" s="19">
        <v>4800</v>
      </c>
      <c r="P25" s="20">
        <f t="shared" si="0"/>
        <v>30240</v>
      </c>
      <c r="Q25" s="21" t="s">
        <v>35</v>
      </c>
      <c r="R25" s="30" t="s">
        <v>53</v>
      </c>
      <c r="T25" s="31"/>
      <c r="U25" s="32">
        <f t="shared" si="2"/>
        <v>-6.3</v>
      </c>
    </row>
    <row r="26" spans="1:21" ht="21.75" customHeight="1" x14ac:dyDescent="0.35">
      <c r="A26" s="25">
        <v>20</v>
      </c>
      <c r="B26" s="26" t="s">
        <v>20</v>
      </c>
      <c r="C26" s="17" t="s">
        <v>54</v>
      </c>
      <c r="D26" s="16" t="s">
        <v>22</v>
      </c>
      <c r="E26" s="37"/>
      <c r="F26" s="27">
        <v>2</v>
      </c>
      <c r="G26" s="27"/>
      <c r="H26" s="27"/>
      <c r="I26" s="27"/>
      <c r="J26" s="27">
        <v>2</v>
      </c>
      <c r="K26" s="28">
        <v>1</v>
      </c>
      <c r="L26" s="27"/>
      <c r="M26" s="50">
        <f t="shared" si="1"/>
        <v>0.25</v>
      </c>
      <c r="N26" s="29">
        <f t="shared" si="3"/>
        <v>5.25</v>
      </c>
      <c r="O26" s="19"/>
      <c r="P26" s="20"/>
      <c r="Q26" s="21"/>
      <c r="R26" s="30"/>
      <c r="T26" s="31"/>
      <c r="U26" s="32">
        <f t="shared" si="2"/>
        <v>-5.25</v>
      </c>
    </row>
    <row r="27" spans="1:21" ht="21.75" customHeight="1" thickBot="1" x14ac:dyDescent="0.4">
      <c r="A27" s="25">
        <v>21</v>
      </c>
      <c r="B27" s="39" t="s">
        <v>20</v>
      </c>
      <c r="C27" s="40" t="s">
        <v>56</v>
      </c>
      <c r="D27" s="16" t="s">
        <v>22</v>
      </c>
      <c r="E27" s="37"/>
      <c r="F27" s="41">
        <v>1</v>
      </c>
      <c r="G27" s="42"/>
      <c r="H27" s="42"/>
      <c r="I27" s="42"/>
      <c r="J27" s="42"/>
      <c r="K27" s="43">
        <v>2</v>
      </c>
      <c r="L27" s="41"/>
      <c r="M27" s="50">
        <f t="shared" si="1"/>
        <v>0.15000000000000002</v>
      </c>
      <c r="N27" s="29">
        <f t="shared" si="3"/>
        <v>3.15</v>
      </c>
      <c r="O27" s="19"/>
      <c r="P27" s="20"/>
      <c r="Q27" s="21"/>
      <c r="R27" s="30"/>
      <c r="T27" s="31"/>
      <c r="U27" s="32">
        <f t="shared" si="2"/>
        <v>-3.15</v>
      </c>
    </row>
    <row r="28" spans="1:21" ht="21.75" customHeight="1" thickBot="1" x14ac:dyDescent="0.4">
      <c r="A28" s="71" t="s">
        <v>55</v>
      </c>
      <c r="B28" s="72"/>
      <c r="C28" s="73"/>
      <c r="D28" s="44"/>
      <c r="E28" s="44"/>
      <c r="F28" s="45">
        <f>SUM(F7:F27)</f>
        <v>50</v>
      </c>
      <c r="G28" s="45">
        <f t="shared" ref="G28:J28" si="4">SUM(G7:G27)</f>
        <v>30</v>
      </c>
      <c r="H28" s="45">
        <f t="shared" si="4"/>
        <v>18</v>
      </c>
      <c r="I28" s="45">
        <f t="shared" si="4"/>
        <v>51</v>
      </c>
      <c r="J28" s="45">
        <f t="shared" si="4"/>
        <v>46</v>
      </c>
      <c r="K28" s="46">
        <f>SUM(K7:K27)</f>
        <v>70</v>
      </c>
      <c r="L28" s="45">
        <f>SUM(L7:L27)</f>
        <v>24</v>
      </c>
      <c r="M28" s="51">
        <f>SUM(M7:M27)</f>
        <v>13.249999999999998</v>
      </c>
      <c r="N28" s="47">
        <f>SUM(N7:N27)</f>
        <v>302.25</v>
      </c>
      <c r="O28" s="19"/>
      <c r="P28" s="20"/>
      <c r="Q28" s="21"/>
      <c r="R28" s="30"/>
      <c r="T28" s="48">
        <f>SUM(T7:T27)</f>
        <v>0</v>
      </c>
      <c r="U28" s="47"/>
    </row>
    <row r="30" spans="1:21" hidden="1" x14ac:dyDescent="0.35">
      <c r="C30" s="52" t="s">
        <v>61</v>
      </c>
      <c r="F30" s="2">
        <v>2</v>
      </c>
      <c r="G30" s="2">
        <v>0</v>
      </c>
      <c r="H30" s="2">
        <v>6</v>
      </c>
      <c r="I30" s="2">
        <v>5</v>
      </c>
      <c r="J30" s="2">
        <v>4</v>
      </c>
      <c r="K30" s="2">
        <v>5</v>
      </c>
      <c r="L30" s="2">
        <v>4</v>
      </c>
    </row>
  </sheetData>
  <mergeCells count="5">
    <mergeCell ref="A1:R1"/>
    <mergeCell ref="A3:C3"/>
    <mergeCell ref="T4:T5"/>
    <mergeCell ref="U4:U5"/>
    <mergeCell ref="A28:C28"/>
  </mergeCells>
  <phoneticPr fontId="14" type="noConversion"/>
  <printOptions horizontalCentered="1" verticalCentered="1"/>
  <pageMargins left="0" right="0" top="0" bottom="0" header="0" footer="0"/>
  <pageSetup scale="5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Sewing Machine Summery</vt:lpstr>
      <vt:lpstr>'Sewing Machine Summery'!Print_Area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Dharshana Wijerathne</dc:creator>
  <cp:lastModifiedBy>Dharshana Wijerathne</cp:lastModifiedBy>
  <dcterms:created xsi:type="dcterms:W3CDTF">2024-11-26T03:29:13Z</dcterms:created>
  <dcterms:modified xsi:type="dcterms:W3CDTF">2025-01-28T12:05:55Z</dcterms:modified>
</cp:coreProperties>
</file>