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D - New Project\India - New Project\Hether Gray\3rd Revision\Fusing Capa\"/>
    </mc:Choice>
  </mc:AlternateContent>
  <xr:revisionPtr revIDLastSave="0" documentId="13_ncr:1_{443E1FD9-026C-4616-A89A-B24F56B5AAF3}" xr6:coauthVersionLast="47" xr6:coauthVersionMax="47" xr10:uidLastSave="{00000000-0000-0000-0000-000000000000}"/>
  <bookViews>
    <workbookView xWindow="-110" yWindow="-110" windowWidth="19420" windowHeight="10300" firstSheet="1" activeTab="1" xr2:uid="{A51D2517-1FC8-4425-83E5-C767F71CB072}"/>
  </bookViews>
  <sheets>
    <sheet name="Machine" sheetId="2" r:id="rId1"/>
    <sheet name="Embroidery Capacity Plan" sheetId="4" r:id="rId2"/>
    <sheet name="Fusing Capacity plan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4" l="1"/>
  <c r="D16" i="4"/>
  <c r="C3" i="4"/>
  <c r="B14" i="4"/>
  <c r="O35" i="5"/>
  <c r="O29" i="5"/>
  <c r="O23" i="5"/>
  <c r="O19" i="5"/>
  <c r="E19" i="5"/>
  <c r="E23" i="5" s="1"/>
  <c r="E29" i="5" s="1"/>
  <c r="E35" i="5" s="1"/>
  <c r="M4" i="5"/>
  <c r="D4" i="5"/>
  <c r="M3" i="5"/>
  <c r="B4" i="4"/>
  <c r="B7" i="4"/>
  <c r="B3" i="4"/>
  <c r="D8" i="4"/>
  <c r="I13" i="4"/>
  <c r="J43" i="2"/>
  <c r="J42" i="2"/>
  <c r="J39" i="2"/>
  <c r="B16" i="4" l="1"/>
  <c r="B15" i="4"/>
  <c r="H4" i="2"/>
  <c r="F26" i="2"/>
  <c r="F19" i="2"/>
  <c r="F12" i="2"/>
  <c r="F13" i="2" s="1"/>
  <c r="H12" i="2"/>
  <c r="B39" i="2"/>
  <c r="H35" i="2"/>
  <c r="H28" i="2"/>
  <c r="H21" i="2"/>
  <c r="F33" i="2"/>
  <c r="F5" i="2"/>
  <c r="B17" i="4" l="1"/>
  <c r="B18" i="4" s="1"/>
  <c r="B19" i="4" s="1"/>
  <c r="H39" i="2"/>
  <c r="I21" i="2" s="1"/>
  <c r="F34" i="2"/>
  <c r="F36" i="2" s="1"/>
  <c r="F27" i="2"/>
  <c r="F29" i="2" s="1"/>
  <c r="F20" i="2"/>
  <c r="F22" i="2" s="1"/>
  <c r="F15" i="2"/>
  <c r="F6" i="2"/>
  <c r="F8" i="2" s="1"/>
  <c r="I4" i="2" l="1"/>
  <c r="I12" i="2"/>
  <c r="I28" i="2"/>
  <c r="I35" i="2"/>
</calcChain>
</file>

<file path=xl/sharedStrings.xml><?xml version="1.0" encoding="utf-8"?>
<sst xmlns="http://schemas.openxmlformats.org/spreadsheetml/2006/main" count="114" uniqueCount="84">
  <si>
    <t xml:space="preserve">Average SMV for trousers  </t>
  </si>
  <si>
    <t>100% target</t>
  </si>
  <si>
    <t>80% target</t>
  </si>
  <si>
    <t>Total QTY</t>
  </si>
  <si>
    <t>Average SMV for T-Shirt</t>
  </si>
  <si>
    <t>Average SMV for shirt</t>
  </si>
  <si>
    <t xml:space="preserve">SMV for Apron </t>
  </si>
  <si>
    <t>MONTHLY VOLUME (IN PCS)</t>
  </si>
  <si>
    <t>SMV for Cap</t>
  </si>
  <si>
    <t xml:space="preserve">PRODUCT CATEGORY </t>
  </si>
  <si>
    <t>Need work 26 working day for achieve 34000qty</t>
  </si>
  <si>
    <t>90- Machine operator 9hrs per day</t>
  </si>
  <si>
    <t>Need work 90 working day for achieve 40000</t>
  </si>
  <si>
    <t>Need work 26 working day for achieve25000 qty</t>
  </si>
  <si>
    <t>38 Machine operator 9hrs per day</t>
  </si>
  <si>
    <t>Need work25 working day for achieve 45000 qty</t>
  </si>
  <si>
    <t>40- Machine operator 9hrs per day</t>
  </si>
  <si>
    <t>55 -Machine operator 9hrs per day</t>
  </si>
  <si>
    <t>Need work 21 working day for achieve 20000qty</t>
  </si>
  <si>
    <t>24 Machine operator 9hrs per day</t>
  </si>
  <si>
    <t>Embroidery Capacity Planning Sheet</t>
  </si>
  <si>
    <t>Order Quantity (pcs)</t>
  </si>
  <si>
    <t>Stitch Count per Logo</t>
  </si>
  <si>
    <t>Machine Speed (stitches/min)</t>
  </si>
  <si>
    <t>Handling Time per Pc (min)</t>
  </si>
  <si>
    <t>Shift Hours</t>
  </si>
  <si>
    <t>Efficiency (%)</t>
  </si>
  <si>
    <t>Heads per Machine</t>
  </si>
  <si>
    <t>CALCULATIONS</t>
  </si>
  <si>
    <t>Stitching Time per Pc (min)</t>
  </si>
  <si>
    <t>Available Minutes per Shift</t>
  </si>
  <si>
    <t>Output per Machine per Day (pcs)</t>
  </si>
  <si>
    <t>Machines Required (1 Day)</t>
  </si>
  <si>
    <t>Fusing Machine Capacity Calculation</t>
  </si>
  <si>
    <t>Machine running continuously</t>
  </si>
  <si>
    <t>1 trouser = 1 fusing cycle (combined components)</t>
  </si>
  <si>
    <t>9 hours × 60 minutes × 60 seconds</t>
  </si>
  <si>
    <t>Capacity = Effective seconds ÷ seconds per piece</t>
  </si>
  <si>
    <t>Required quantity ÷ capacity per machine</t>
  </si>
  <si>
    <t>✅ Machines Required: 2 fusing machines</t>
  </si>
  <si>
    <t>Machines Required</t>
  </si>
  <si>
    <r>
      <t>Product:</t>
    </r>
    <r>
      <rPr>
        <sz val="11"/>
        <color theme="1"/>
        <rFont val="Calibri"/>
        <family val="2"/>
        <scheme val="minor"/>
      </rPr>
      <t xml:space="preserve"> Trouser</t>
    </r>
  </si>
  <si>
    <r>
      <t>Factory Working Time:</t>
    </r>
    <r>
      <rPr>
        <sz val="11"/>
        <color theme="1"/>
        <rFont val="Calibri"/>
        <family val="2"/>
        <scheme val="minor"/>
      </rPr>
      <t xml:space="preserve"> 9 hours</t>
    </r>
  </si>
  <si>
    <t>Collar – 1</t>
  </si>
  <si>
    <t>Collar stand – 1</t>
  </si>
  <si>
    <t xml:space="preserve"> Assumptions </t>
  </si>
  <si>
    <t>Capacity per Machine</t>
  </si>
  <si>
    <t>Available Time</t>
  </si>
  <si>
    <t>Boundry aisle</t>
  </si>
  <si>
    <t>feet</t>
  </si>
  <si>
    <t>1st line</t>
  </si>
  <si>
    <t>aisle</t>
  </si>
  <si>
    <t>2nd line</t>
  </si>
  <si>
    <t>3rd line</t>
  </si>
  <si>
    <t>4th line</t>
  </si>
  <si>
    <t>Total time per Pc (min)</t>
  </si>
  <si>
    <t>Output per head per Day (pcs)</t>
  </si>
  <si>
    <t>ASSUMPTIONS FOR</t>
  </si>
  <si>
    <t>Belt Size</t>
  </si>
  <si>
    <t xml:space="preserve">350cm*100cm </t>
  </si>
  <si>
    <t>32,400 seconds</t>
  </si>
  <si>
    <r>
      <t xml:space="preserve"> </t>
    </r>
    <r>
      <rPr>
        <b/>
        <sz val="11"/>
        <color theme="1"/>
        <rFont val="Calibri"/>
        <family val="2"/>
        <scheme val="minor"/>
      </rPr>
      <t>32,400 seconds</t>
    </r>
  </si>
  <si>
    <t xml:space="preserve"> 32,400 × 0.90</t>
  </si>
  <si>
    <t>Effective time @ 90% efficiency</t>
  </si>
  <si>
    <t>29,160 seconds</t>
  </si>
  <si>
    <t>29,160 ÷ 27</t>
  </si>
  <si>
    <t>1080 pcs per machine per 9 hours</t>
  </si>
  <si>
    <r>
      <t>Product:</t>
    </r>
    <r>
      <rPr>
        <sz val="11"/>
        <color theme="1"/>
        <rFont val="Calibri"/>
        <family val="2"/>
        <scheme val="minor"/>
      </rPr>
      <t xml:space="preserve"> Shirt/T shirt</t>
    </r>
  </si>
  <si>
    <r>
      <t>Order Qty:</t>
    </r>
    <r>
      <rPr>
        <sz val="11"/>
        <color theme="1"/>
        <rFont val="Calibri"/>
        <family val="2"/>
        <scheme val="minor"/>
      </rPr>
      <t xml:space="preserve"> 2,360 pcs</t>
    </r>
  </si>
  <si>
    <r>
      <t>Machine efficiency:</t>
    </r>
    <r>
      <rPr>
        <sz val="11"/>
        <color theme="1"/>
        <rFont val="Calibri"/>
        <family val="2"/>
        <scheme val="minor"/>
      </rPr>
      <t xml:space="preserve"> 90</t>
    </r>
    <r>
      <rPr>
        <b/>
        <sz val="11"/>
        <color theme="1"/>
        <rFont val="Calibri"/>
        <family val="2"/>
        <scheme val="minor"/>
      </rPr>
      <t>%</t>
    </r>
  </si>
  <si>
    <r>
      <t>Fusing time per shirt component (Front Placket 2 + collar+ collar stand):</t>
    </r>
    <r>
      <rPr>
        <sz val="11"/>
        <color theme="1"/>
        <rFont val="Calibri"/>
        <family val="2"/>
        <scheme val="minor"/>
      </rPr>
      <t xml:space="preserve"> 27</t>
    </r>
    <r>
      <rPr>
        <b/>
        <sz val="11"/>
        <color theme="1"/>
        <rFont val="Calibri"/>
        <family val="2"/>
        <scheme val="minor"/>
      </rPr>
      <t xml:space="preserve"> seconds / pc</t>
    </r>
  </si>
  <si>
    <t>Front placket – 2</t>
  </si>
  <si>
    <t>Total fused parts = 4 parts/shirt</t>
  </si>
  <si>
    <r>
      <t>Fusing time per trouser component (waistband + fly + facing):</t>
    </r>
    <r>
      <rPr>
        <sz val="11"/>
        <color theme="1"/>
        <rFont val="Calibri"/>
        <family val="2"/>
        <scheme val="minor"/>
      </rPr>
      <t xml:space="preserve"> 23</t>
    </r>
    <r>
      <rPr>
        <b/>
        <sz val="11"/>
        <color theme="1"/>
        <rFont val="Calibri"/>
        <family val="2"/>
        <scheme val="minor"/>
      </rPr>
      <t xml:space="preserve"> seconds / pc</t>
    </r>
  </si>
  <si>
    <t>29,160 ÷ 23</t>
  </si>
  <si>
    <t>1267 pcs per machine per 9 hours</t>
  </si>
  <si>
    <t>1,600 ÷ 1267</t>
  </si>
  <si>
    <t>1.26 machines</t>
  </si>
  <si>
    <t xml:space="preserve"> 2360 ÷ 1080</t>
  </si>
  <si>
    <t>✅ Machines Required: 1fusing machines</t>
  </si>
  <si>
    <t>1 shirt &amp; 1 t shirt = 1 fusing cycle (combined components)</t>
  </si>
  <si>
    <t>seconds/pcs</t>
  </si>
  <si>
    <t>Per Day Qty:</t>
  </si>
  <si>
    <t>2.19 machines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</si>
</sst>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 Light"/>
      <family val="2"/>
      <scheme val="major"/>
    </font>
    <font>
      <b/>
      <sz val="14"/>
      <color rgb="FF000000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3" fillId="3" borderId="6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4" fillId="4" borderId="2" xfId="0" applyFont="1" applyFill="1" applyBorder="1"/>
    <xf numFmtId="0" fontId="4" fillId="4" borderId="2" xfId="0" applyFont="1" applyFill="1" applyBorder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4" xfId="0" applyFont="1" applyBorder="1"/>
    <xf numFmtId="0" fontId="5" fillId="0" borderId="8" xfId="0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2" borderId="0" xfId="0" applyNumberFormat="1" applyFont="1" applyFill="1" applyAlignment="1">
      <alignment horizontal="center"/>
    </xf>
    <xf numFmtId="0" fontId="5" fillId="0" borderId="5" xfId="0" applyFont="1" applyBorder="1"/>
    <xf numFmtId="0" fontId="5" fillId="0" borderId="3" xfId="0" applyFont="1" applyBorder="1"/>
    <xf numFmtId="0" fontId="5" fillId="0" borderId="9" xfId="0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9" fontId="0" fillId="0" borderId="0" xfId="2" applyFont="1" applyAlignment="1">
      <alignment horizontal="left"/>
    </xf>
    <xf numFmtId="165" fontId="5" fillId="0" borderId="7" xfId="0" applyNumberFormat="1" applyFont="1" applyBorder="1" applyAlignment="1">
      <alignment horizontal="left" vertical="top"/>
    </xf>
    <xf numFmtId="1" fontId="0" fillId="0" borderId="0" xfId="0" applyNumberFormat="1"/>
    <xf numFmtId="166" fontId="0" fillId="0" borderId="0" xfId="0" applyNumberFormat="1"/>
    <xf numFmtId="0" fontId="7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6" fillId="0" borderId="0" xfId="0" applyFont="1" applyAlignment="1">
      <alignment horizontal="left" vertical="center" indent="2"/>
    </xf>
    <xf numFmtId="165" fontId="0" fillId="0" borderId="0" xfId="0" applyNumberFormat="1"/>
    <xf numFmtId="43" fontId="0" fillId="0" borderId="0" xfId="0" applyNumberFormat="1"/>
    <xf numFmtId="0" fontId="0" fillId="2" borderId="0" xfId="0" applyFill="1"/>
    <xf numFmtId="3" fontId="0" fillId="0" borderId="0" xfId="0" applyNumberFormat="1"/>
    <xf numFmtId="166" fontId="0" fillId="2" borderId="0" xfId="0" applyNumberFormat="1" applyFill="1"/>
    <xf numFmtId="0" fontId="0" fillId="0" borderId="0" xfId="0" applyAlignment="1">
      <alignment horizontal="right"/>
    </xf>
    <xf numFmtId="2" fontId="0" fillId="0" borderId="0" xfId="0" applyNumberForma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1" fontId="5" fillId="2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3">
    <cellStyle name="Comma 2" xfId="1" xr:uid="{F04E74AB-3406-4E95-81FE-4328CBAF9F04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CF16-EB7C-4A33-B882-F72BF5B274FF}">
  <dimension ref="B2:J43"/>
  <sheetViews>
    <sheetView topLeftCell="B26" workbookViewId="0">
      <selection activeCell="J43" sqref="J43"/>
    </sheetView>
  </sheetViews>
  <sheetFormatPr defaultRowHeight="14.5" x14ac:dyDescent="0.35"/>
  <cols>
    <col min="2" max="3" width="9.08984375" customWidth="1"/>
    <col min="4" max="4" width="27.54296875" customWidth="1"/>
    <col min="5" max="5" width="17.54296875" customWidth="1"/>
    <col min="6" max="6" width="17.453125" customWidth="1"/>
    <col min="7" max="7" width="13.6328125" customWidth="1"/>
    <col min="8" max="8" width="27.90625" style="1" customWidth="1"/>
    <col min="9" max="9" width="9.54296875" customWidth="1"/>
  </cols>
  <sheetData>
    <row r="2" spans="2:9" ht="15" thickBot="1" x14ac:dyDescent="0.4"/>
    <row r="3" spans="2:9" ht="60.75" customHeight="1" thickBot="1" x14ac:dyDescent="0.6">
      <c r="C3" s="43" t="s">
        <v>9</v>
      </c>
      <c r="D3" s="44"/>
      <c r="E3" s="44"/>
      <c r="F3" s="44"/>
      <c r="G3" s="44"/>
      <c r="H3" s="2" t="s">
        <v>7</v>
      </c>
      <c r="I3" s="18"/>
    </row>
    <row r="4" spans="2:9" ht="19" thickBot="1" x14ac:dyDescent="0.5">
      <c r="C4" s="3" t="s">
        <v>0</v>
      </c>
      <c r="D4" s="4"/>
      <c r="E4" s="4"/>
      <c r="F4" s="5">
        <v>24.5</v>
      </c>
      <c r="G4" s="4"/>
      <c r="H4" s="20">
        <f>F7</f>
        <v>40000</v>
      </c>
      <c r="I4" s="19">
        <f>H4/H39</f>
        <v>0.24390243902439024</v>
      </c>
    </row>
    <row r="5" spans="2:9" ht="18.5" x14ac:dyDescent="0.45">
      <c r="B5">
        <v>90</v>
      </c>
      <c r="C5" s="37" t="s">
        <v>11</v>
      </c>
      <c r="D5" s="38"/>
      <c r="E5" s="38"/>
      <c r="F5" s="11">
        <f>540*90/F4</f>
        <v>1983.6734693877552</v>
      </c>
      <c r="G5" s="8" t="s">
        <v>1</v>
      </c>
      <c r="H5" s="10"/>
      <c r="I5" s="18"/>
    </row>
    <row r="6" spans="2:9" x14ac:dyDescent="0.35">
      <c r="C6" s="9"/>
      <c r="D6" s="8"/>
      <c r="E6" s="8"/>
      <c r="F6" s="11">
        <f>F5*0.8</f>
        <v>1586.9387755102043</v>
      </c>
      <c r="G6" s="8" t="s">
        <v>2</v>
      </c>
      <c r="H6" s="10"/>
      <c r="I6" s="18"/>
    </row>
    <row r="7" spans="2:9" x14ac:dyDescent="0.35">
      <c r="C7" s="41" t="s">
        <v>3</v>
      </c>
      <c r="D7" s="42"/>
      <c r="E7" s="42"/>
      <c r="F7" s="11">
        <v>40000</v>
      </c>
      <c r="G7" s="8"/>
      <c r="H7" s="10"/>
      <c r="I7" s="18"/>
    </row>
    <row r="8" spans="2:9" x14ac:dyDescent="0.35">
      <c r="C8" s="39" t="s">
        <v>12</v>
      </c>
      <c r="D8" s="40"/>
      <c r="E8" s="40"/>
      <c r="F8" s="45">
        <f>F7/F6</f>
        <v>25.205761316872422</v>
      </c>
      <c r="G8" s="8"/>
      <c r="H8" s="10"/>
      <c r="I8" s="18"/>
    </row>
    <row r="9" spans="2:9" x14ac:dyDescent="0.35">
      <c r="C9" s="39"/>
      <c r="D9" s="40"/>
      <c r="E9" s="40"/>
      <c r="F9" s="45"/>
      <c r="G9" s="8"/>
      <c r="H9" s="10"/>
      <c r="I9" s="18"/>
    </row>
    <row r="10" spans="2:9" ht="15" thickBot="1" x14ac:dyDescent="0.4">
      <c r="C10" s="9"/>
      <c r="D10" s="8"/>
      <c r="E10" s="8"/>
      <c r="F10" s="8"/>
      <c r="G10" s="8"/>
      <c r="H10" s="10"/>
      <c r="I10" s="18"/>
    </row>
    <row r="11" spans="2:9" ht="19" thickBot="1" x14ac:dyDescent="0.5">
      <c r="C11" s="3" t="s">
        <v>4</v>
      </c>
      <c r="D11" s="4"/>
      <c r="E11" s="4"/>
      <c r="F11" s="5">
        <v>11.9</v>
      </c>
      <c r="G11" s="4"/>
      <c r="H11" s="6"/>
      <c r="I11" s="18"/>
    </row>
    <row r="12" spans="2:9" ht="18.5" x14ac:dyDescent="0.45">
      <c r="B12">
        <v>36</v>
      </c>
      <c r="C12" s="37" t="s">
        <v>16</v>
      </c>
      <c r="D12" s="38"/>
      <c r="E12" s="38"/>
      <c r="F12" s="11">
        <f>540*40/F11</f>
        <v>1815.126050420168</v>
      </c>
      <c r="G12" s="8" t="s">
        <v>1</v>
      </c>
      <c r="H12" s="16">
        <f>F14</f>
        <v>34000</v>
      </c>
      <c r="I12" s="19">
        <f>H12/H39</f>
        <v>0.2073170731707317</v>
      </c>
    </row>
    <row r="13" spans="2:9" x14ac:dyDescent="0.35">
      <c r="C13" s="9"/>
      <c r="D13" s="8"/>
      <c r="E13" s="8"/>
      <c r="F13" s="11">
        <f>F12*0.8</f>
        <v>1452.1008403361345</v>
      </c>
      <c r="G13" s="8" t="s">
        <v>2</v>
      </c>
      <c r="H13" s="10"/>
      <c r="I13" s="18"/>
    </row>
    <row r="14" spans="2:9" x14ac:dyDescent="0.35">
      <c r="C14" s="41" t="s">
        <v>3</v>
      </c>
      <c r="D14" s="42"/>
      <c r="E14" s="42"/>
      <c r="F14" s="11">
        <v>34000</v>
      </c>
      <c r="G14" s="8"/>
      <c r="H14" s="10"/>
      <c r="I14" s="18"/>
    </row>
    <row r="15" spans="2:9" x14ac:dyDescent="0.35">
      <c r="C15" s="39" t="s">
        <v>10</v>
      </c>
      <c r="D15" s="40"/>
      <c r="E15" s="40"/>
      <c r="F15" s="12">
        <f>F14/F13</f>
        <v>23.414351851851851</v>
      </c>
      <c r="G15" s="8"/>
      <c r="H15" s="10"/>
      <c r="I15" s="18"/>
    </row>
    <row r="16" spans="2:9" x14ac:dyDescent="0.35">
      <c r="C16" s="39"/>
      <c r="D16" s="40"/>
      <c r="E16" s="40"/>
      <c r="F16" s="7"/>
      <c r="G16" s="8"/>
      <c r="H16" s="10"/>
      <c r="I16" s="18"/>
    </row>
    <row r="17" spans="2:9" ht="15" thickBot="1" x14ac:dyDescent="0.4">
      <c r="C17" s="9"/>
      <c r="D17" s="8"/>
      <c r="E17" s="8"/>
      <c r="F17" s="8"/>
      <c r="G17" s="8"/>
      <c r="H17" s="10"/>
      <c r="I17" s="18"/>
    </row>
    <row r="18" spans="2:9" ht="19" thickBot="1" x14ac:dyDescent="0.5">
      <c r="C18" s="3" t="s">
        <v>5</v>
      </c>
      <c r="D18" s="4"/>
      <c r="E18" s="4"/>
      <c r="F18" s="5">
        <v>22.4</v>
      </c>
      <c r="G18" s="4"/>
      <c r="H18" s="6"/>
      <c r="I18" s="18"/>
    </row>
    <row r="19" spans="2:9" ht="18.5" x14ac:dyDescent="0.45">
      <c r="B19">
        <v>50</v>
      </c>
      <c r="C19" s="37" t="s">
        <v>17</v>
      </c>
      <c r="D19" s="38"/>
      <c r="E19" s="38"/>
      <c r="F19" s="11">
        <f>540*55/F18</f>
        <v>1325.8928571428573</v>
      </c>
      <c r="G19" s="8" t="s">
        <v>1</v>
      </c>
      <c r="H19" s="10"/>
      <c r="I19" s="18"/>
    </row>
    <row r="20" spans="2:9" x14ac:dyDescent="0.35">
      <c r="C20" s="9"/>
      <c r="D20" s="8"/>
      <c r="E20" s="8"/>
      <c r="F20" s="11">
        <f>F19*0.8</f>
        <v>1060.714285714286</v>
      </c>
      <c r="G20" s="8" t="s">
        <v>2</v>
      </c>
      <c r="H20" s="10"/>
      <c r="I20" s="18"/>
    </row>
    <row r="21" spans="2:9" x14ac:dyDescent="0.35">
      <c r="C21" s="9"/>
      <c r="D21" s="8"/>
      <c r="E21" s="8" t="s">
        <v>3</v>
      </c>
      <c r="F21" s="11">
        <v>25000</v>
      </c>
      <c r="G21" s="8"/>
      <c r="H21" s="16">
        <f>F21</f>
        <v>25000</v>
      </c>
      <c r="I21" s="19">
        <f>H21/H39</f>
        <v>0.1524390243902439</v>
      </c>
    </row>
    <row r="22" spans="2:9" x14ac:dyDescent="0.35">
      <c r="C22" s="39" t="s">
        <v>13</v>
      </c>
      <c r="D22" s="40"/>
      <c r="E22" s="40"/>
      <c r="F22" s="12">
        <f>F21/F20</f>
        <v>23.569023569023564</v>
      </c>
      <c r="G22" s="8"/>
      <c r="H22" s="10"/>
      <c r="I22" s="18"/>
    </row>
    <row r="23" spans="2:9" x14ac:dyDescent="0.35">
      <c r="C23" s="39"/>
      <c r="D23" s="40"/>
      <c r="E23" s="40"/>
      <c r="F23" s="7"/>
      <c r="G23" s="8"/>
      <c r="H23" s="10"/>
      <c r="I23" s="18"/>
    </row>
    <row r="24" spans="2:9" ht="15" thickBot="1" x14ac:dyDescent="0.4">
      <c r="C24" s="9"/>
      <c r="D24" s="8"/>
      <c r="E24" s="8"/>
      <c r="F24" s="8"/>
      <c r="G24" s="8"/>
      <c r="H24" s="10"/>
      <c r="I24" s="18"/>
    </row>
    <row r="25" spans="2:9" ht="19" thickBot="1" x14ac:dyDescent="0.5">
      <c r="C25" s="3" t="s">
        <v>6</v>
      </c>
      <c r="D25" s="4"/>
      <c r="E25" s="4"/>
      <c r="F25" s="5">
        <v>10.91</v>
      </c>
      <c r="G25" s="4"/>
      <c r="H25" s="6"/>
      <c r="I25" s="18"/>
    </row>
    <row r="26" spans="2:9" ht="18.5" x14ac:dyDescent="0.45">
      <c r="B26">
        <v>20</v>
      </c>
      <c r="C26" s="37" t="s">
        <v>19</v>
      </c>
      <c r="D26" s="38"/>
      <c r="E26" s="38"/>
      <c r="F26" s="11">
        <f>540*24/F25</f>
        <v>1187.9010082493126</v>
      </c>
      <c r="G26" s="8" t="s">
        <v>1</v>
      </c>
      <c r="H26" s="10"/>
      <c r="I26" s="18"/>
    </row>
    <row r="27" spans="2:9" x14ac:dyDescent="0.35">
      <c r="C27" s="9"/>
      <c r="D27" s="8"/>
      <c r="E27" s="8"/>
      <c r="F27" s="11">
        <f>F26*0.8</f>
        <v>950.32080659945007</v>
      </c>
      <c r="G27" s="8" t="s">
        <v>2</v>
      </c>
      <c r="H27" s="10"/>
      <c r="I27" s="18"/>
    </row>
    <row r="28" spans="2:9" x14ac:dyDescent="0.35">
      <c r="C28" s="9"/>
      <c r="D28" s="8"/>
      <c r="E28" s="8" t="s">
        <v>3</v>
      </c>
      <c r="F28" s="11">
        <v>20000</v>
      </c>
      <c r="G28" s="8"/>
      <c r="H28" s="16">
        <f>F28</f>
        <v>20000</v>
      </c>
      <c r="I28" s="19">
        <f>H28/H39</f>
        <v>0.12195121951219512</v>
      </c>
    </row>
    <row r="29" spans="2:9" x14ac:dyDescent="0.35">
      <c r="C29" s="39" t="s">
        <v>18</v>
      </c>
      <c r="D29" s="40"/>
      <c r="E29" s="40"/>
      <c r="F29" s="12">
        <f>F28/F27</f>
        <v>21.045524691358025</v>
      </c>
      <c r="G29" s="8"/>
      <c r="H29" s="10"/>
      <c r="I29" s="18"/>
    </row>
    <row r="30" spans="2:9" x14ac:dyDescent="0.35">
      <c r="C30" s="39"/>
      <c r="D30" s="40"/>
      <c r="E30" s="40"/>
      <c r="F30" s="7"/>
      <c r="G30" s="8"/>
      <c r="H30" s="10"/>
      <c r="I30" s="18"/>
    </row>
    <row r="31" spans="2:9" ht="15" thickBot="1" x14ac:dyDescent="0.4">
      <c r="C31" s="9"/>
      <c r="D31" s="8"/>
      <c r="E31" s="8"/>
      <c r="F31" s="8"/>
      <c r="G31" s="8"/>
      <c r="H31" s="10"/>
      <c r="I31" s="18"/>
    </row>
    <row r="32" spans="2:9" ht="19" thickBot="1" x14ac:dyDescent="0.5">
      <c r="C32" s="3" t="s">
        <v>8</v>
      </c>
      <c r="D32" s="4"/>
      <c r="E32" s="4"/>
      <c r="F32" s="5">
        <v>9.23</v>
      </c>
      <c r="G32" s="4"/>
      <c r="H32" s="6"/>
      <c r="I32" s="18"/>
    </row>
    <row r="33" spans="2:10" ht="18.5" x14ac:dyDescent="0.45">
      <c r="B33">
        <v>38</v>
      </c>
      <c r="C33" s="37" t="s">
        <v>14</v>
      </c>
      <c r="D33" s="38"/>
      <c r="E33" s="38"/>
      <c r="F33" s="11">
        <f>540*38/F32</f>
        <v>2223.1852654387862</v>
      </c>
      <c r="G33" s="8" t="s">
        <v>1</v>
      </c>
      <c r="H33" s="10"/>
      <c r="I33" s="18"/>
    </row>
    <row r="34" spans="2:10" x14ac:dyDescent="0.35">
      <c r="C34" s="9"/>
      <c r="D34" s="8"/>
      <c r="E34" s="8"/>
      <c r="F34" s="11">
        <f>F33*0.8</f>
        <v>1778.5482123510292</v>
      </c>
      <c r="G34" s="8" t="s">
        <v>2</v>
      </c>
      <c r="H34" s="10"/>
      <c r="I34" s="18"/>
    </row>
    <row r="35" spans="2:10" x14ac:dyDescent="0.35">
      <c r="C35" s="9"/>
      <c r="D35" s="8"/>
      <c r="E35" s="8" t="s">
        <v>3</v>
      </c>
      <c r="F35" s="11">
        <v>45000</v>
      </c>
      <c r="G35" s="8"/>
      <c r="H35" s="16">
        <f>F35</f>
        <v>45000</v>
      </c>
      <c r="I35" s="19">
        <f>H35/H39</f>
        <v>0.27439024390243905</v>
      </c>
    </row>
    <row r="36" spans="2:10" x14ac:dyDescent="0.35">
      <c r="C36" s="39" t="s">
        <v>15</v>
      </c>
      <c r="D36" s="40"/>
      <c r="E36" s="40"/>
      <c r="F36" s="11">
        <f>F35/F34</f>
        <v>25.301535087719298</v>
      </c>
      <c r="G36" s="8"/>
      <c r="H36" s="10"/>
      <c r="I36" s="18"/>
    </row>
    <row r="37" spans="2:10" x14ac:dyDescent="0.35">
      <c r="C37" s="39"/>
      <c r="D37" s="40"/>
      <c r="E37" s="40"/>
      <c r="F37" s="7"/>
      <c r="G37" s="8"/>
      <c r="H37" s="10"/>
      <c r="I37" s="18"/>
    </row>
    <row r="38" spans="2:10" ht="15" thickBot="1" x14ac:dyDescent="0.4">
      <c r="C38" s="13"/>
      <c r="D38" s="14"/>
      <c r="E38" s="14"/>
      <c r="F38" s="14"/>
      <c r="G38" s="14"/>
      <c r="H38" s="15"/>
      <c r="I38" s="18"/>
    </row>
    <row r="39" spans="2:10" x14ac:dyDescent="0.35">
      <c r="B39" s="17">
        <f>SUM(B4:B38)</f>
        <v>234</v>
      </c>
      <c r="H39" s="17">
        <f>SUM(H4:H38)</f>
        <v>164000</v>
      </c>
      <c r="J39" s="30">
        <f>H39-H35</f>
        <v>119000</v>
      </c>
    </row>
    <row r="40" spans="2:10" x14ac:dyDescent="0.35">
      <c r="J40" s="30">
        <v>5000</v>
      </c>
    </row>
    <row r="42" spans="2:10" x14ac:dyDescent="0.35">
      <c r="J42" s="31">
        <f>J40/22</f>
        <v>227.27272727272728</v>
      </c>
    </row>
    <row r="43" spans="2:10" x14ac:dyDescent="0.35">
      <c r="J43" s="31">
        <f>J42/9</f>
        <v>25.252525252525253</v>
      </c>
    </row>
  </sheetData>
  <mergeCells count="14">
    <mergeCell ref="C12:E12"/>
    <mergeCell ref="C3:G3"/>
    <mergeCell ref="C5:E5"/>
    <mergeCell ref="C7:E7"/>
    <mergeCell ref="C8:E9"/>
    <mergeCell ref="F8:F9"/>
    <mergeCell ref="C33:E33"/>
    <mergeCell ref="C36:E37"/>
    <mergeCell ref="C14:E14"/>
    <mergeCell ref="C15:E16"/>
    <mergeCell ref="C19:E19"/>
    <mergeCell ref="C22:E23"/>
    <mergeCell ref="C26:E26"/>
    <mergeCell ref="C29:E30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D3E8-D1DE-4607-AD30-30369299C547}">
  <dimension ref="A1:I19"/>
  <sheetViews>
    <sheetView tabSelected="1" workbookViewId="0">
      <selection activeCell="K14" sqref="K14"/>
    </sheetView>
  </sheetViews>
  <sheetFormatPr defaultRowHeight="14.5" x14ac:dyDescent="0.35"/>
  <cols>
    <col min="1" max="1" width="31.08984375" bestFit="1" customWidth="1"/>
    <col min="2" max="2" width="9.36328125" bestFit="1" customWidth="1"/>
    <col min="4" max="4" width="9.36328125" bestFit="1" customWidth="1"/>
    <col min="8" max="8" width="12.08984375" hidden="1" customWidth="1"/>
    <col min="9" max="10" width="0" hidden="1" customWidth="1"/>
  </cols>
  <sheetData>
    <row r="1" spans="1:9" x14ac:dyDescent="0.35">
      <c r="A1" t="s">
        <v>20</v>
      </c>
    </row>
    <row r="3" spans="1:9" x14ac:dyDescent="0.35">
      <c r="A3" t="s">
        <v>57</v>
      </c>
      <c r="B3" s="33">
        <f>34000+25000+20000+45000</f>
        <v>124000</v>
      </c>
      <c r="C3">
        <f>B3*0.85</f>
        <v>105400</v>
      </c>
      <c r="I3" t="s">
        <v>49</v>
      </c>
    </row>
    <row r="4" spans="1:9" x14ac:dyDescent="0.35">
      <c r="A4" t="s">
        <v>21</v>
      </c>
      <c r="B4">
        <f>C3/25</f>
        <v>4216</v>
      </c>
      <c r="I4">
        <v>50</v>
      </c>
    </row>
    <row r="5" spans="1:9" x14ac:dyDescent="0.35">
      <c r="A5" t="s">
        <v>22</v>
      </c>
      <c r="B5">
        <v>5000</v>
      </c>
      <c r="H5" t="s">
        <v>48</v>
      </c>
      <c r="I5">
        <v>5</v>
      </c>
    </row>
    <row r="6" spans="1:9" x14ac:dyDescent="0.35">
      <c r="A6" t="s">
        <v>23</v>
      </c>
      <c r="B6">
        <v>750</v>
      </c>
      <c r="H6" t="s">
        <v>50</v>
      </c>
      <c r="I6">
        <v>9</v>
      </c>
    </row>
    <row r="7" spans="1:9" x14ac:dyDescent="0.35">
      <c r="A7" t="s">
        <v>24</v>
      </c>
      <c r="B7" s="32">
        <f>3/12</f>
        <v>0.25</v>
      </c>
      <c r="H7" t="s">
        <v>51</v>
      </c>
      <c r="I7">
        <v>3</v>
      </c>
    </row>
    <row r="8" spans="1:9" x14ac:dyDescent="0.35">
      <c r="A8" t="s">
        <v>25</v>
      </c>
      <c r="B8">
        <v>9</v>
      </c>
      <c r="D8">
        <f>60*9</f>
        <v>540</v>
      </c>
      <c r="H8" t="s">
        <v>52</v>
      </c>
      <c r="I8">
        <v>9</v>
      </c>
    </row>
    <row r="9" spans="1:9" x14ac:dyDescent="0.35">
      <c r="A9" t="s">
        <v>26</v>
      </c>
      <c r="B9">
        <v>80</v>
      </c>
      <c r="H9" t="s">
        <v>51</v>
      </c>
      <c r="I9">
        <v>3</v>
      </c>
    </row>
    <row r="10" spans="1:9" x14ac:dyDescent="0.35">
      <c r="A10" t="s">
        <v>27</v>
      </c>
      <c r="B10">
        <v>12</v>
      </c>
      <c r="H10" t="s">
        <v>53</v>
      </c>
      <c r="I10">
        <v>9</v>
      </c>
    </row>
    <row r="11" spans="1:9" x14ac:dyDescent="0.35">
      <c r="H11" t="s">
        <v>51</v>
      </c>
      <c r="I11">
        <v>3</v>
      </c>
    </row>
    <row r="12" spans="1:9" x14ac:dyDescent="0.35">
      <c r="A12" t="s">
        <v>28</v>
      </c>
      <c r="H12" t="s">
        <v>54</v>
      </c>
      <c r="I12">
        <v>9</v>
      </c>
    </row>
    <row r="13" spans="1:9" x14ac:dyDescent="0.35">
      <c r="I13">
        <f>SUM(I5:I12)</f>
        <v>50</v>
      </c>
    </row>
    <row r="14" spans="1:9" x14ac:dyDescent="0.35">
      <c r="A14" t="s">
        <v>29</v>
      </c>
      <c r="B14" s="34">
        <f>B5/B6</f>
        <v>6.666666666666667</v>
      </c>
    </row>
    <row r="15" spans="1:9" x14ac:dyDescent="0.35">
      <c r="A15" t="s">
        <v>55</v>
      </c>
      <c r="B15" s="34">
        <f>B14+B7</f>
        <v>6.916666666666667</v>
      </c>
    </row>
    <row r="16" spans="1:9" x14ac:dyDescent="0.35">
      <c r="A16" t="s">
        <v>30</v>
      </c>
      <c r="B16">
        <f>B8*60*B9/100</f>
        <v>432</v>
      </c>
      <c r="D16">
        <f>B16/60</f>
        <v>7.2</v>
      </c>
    </row>
    <row r="17" spans="1:4" x14ac:dyDescent="0.35">
      <c r="A17" t="s">
        <v>56</v>
      </c>
      <c r="B17" s="21">
        <f>B16/B15</f>
        <v>62.4578313253012</v>
      </c>
    </row>
    <row r="18" spans="1:4" x14ac:dyDescent="0.35">
      <c r="A18" t="s">
        <v>31</v>
      </c>
      <c r="B18" s="21">
        <f>B17*B10</f>
        <v>749.49397590361446</v>
      </c>
      <c r="D18" s="21">
        <f>B18*7.2</f>
        <v>5396.3566265060244</v>
      </c>
    </row>
    <row r="19" spans="1:4" x14ac:dyDescent="0.35">
      <c r="A19" t="s">
        <v>32</v>
      </c>
      <c r="B19" s="22">
        <f>B4/B18</f>
        <v>5.6251286008230457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7D9C-B90E-466E-9C25-6E4081206638}">
  <dimension ref="A1:T38"/>
  <sheetViews>
    <sheetView zoomScaleNormal="100" workbookViewId="0">
      <selection activeCell="Q13" sqref="Q13"/>
    </sheetView>
  </sheetViews>
  <sheetFormatPr defaultRowHeight="14.5" x14ac:dyDescent="0.35"/>
  <sheetData>
    <row r="1" spans="1:20" ht="23.5" x14ac:dyDescent="0.35">
      <c r="A1" s="23" t="s">
        <v>33</v>
      </c>
    </row>
    <row r="3" spans="1:20" x14ac:dyDescent="0.35">
      <c r="A3" s="24" t="s">
        <v>41</v>
      </c>
      <c r="D3" s="33">
        <v>40000</v>
      </c>
      <c r="J3" s="24" t="s">
        <v>67</v>
      </c>
      <c r="M3" s="33">
        <f>25000+34000</f>
        <v>59000</v>
      </c>
      <c r="P3" s="28" t="s">
        <v>71</v>
      </c>
    </row>
    <row r="4" spans="1:20" x14ac:dyDescent="0.35">
      <c r="A4" s="24" t="s">
        <v>82</v>
      </c>
      <c r="D4">
        <f>D3/25</f>
        <v>1600</v>
      </c>
      <c r="J4" s="24" t="s">
        <v>68</v>
      </c>
      <c r="M4">
        <f>M3/25</f>
        <v>2360</v>
      </c>
      <c r="P4" s="28" t="s">
        <v>43</v>
      </c>
    </row>
    <row r="5" spans="1:20" x14ac:dyDescent="0.35">
      <c r="A5" s="24" t="s">
        <v>42</v>
      </c>
      <c r="D5">
        <v>9</v>
      </c>
      <c r="J5" s="24" t="s">
        <v>42</v>
      </c>
      <c r="M5">
        <v>9</v>
      </c>
      <c r="P5" s="28" t="s">
        <v>44</v>
      </c>
    </row>
    <row r="6" spans="1:20" x14ac:dyDescent="0.35">
      <c r="P6" s="29" t="s">
        <v>72</v>
      </c>
    </row>
    <row r="7" spans="1:20" ht="23.5" x14ac:dyDescent="0.35">
      <c r="A7" s="23" t="s">
        <v>45</v>
      </c>
      <c r="J7" s="23" t="s">
        <v>45</v>
      </c>
      <c r="P7" s="46"/>
      <c r="Q7" s="46"/>
      <c r="R7" s="46"/>
      <c r="S7" s="46"/>
      <c r="T7" s="46"/>
    </row>
    <row r="8" spans="1:20" x14ac:dyDescent="0.35">
      <c r="A8" s="25"/>
      <c r="J8" s="25"/>
    </row>
    <row r="9" spans="1:20" x14ac:dyDescent="0.35">
      <c r="A9" s="26" t="s">
        <v>73</v>
      </c>
      <c r="G9" s="35">
        <v>23</v>
      </c>
      <c r="H9" t="s">
        <v>81</v>
      </c>
      <c r="J9" s="26" t="s">
        <v>70</v>
      </c>
      <c r="Q9">
        <v>27</v>
      </c>
      <c r="R9" t="s">
        <v>81</v>
      </c>
    </row>
    <row r="10" spans="1:20" x14ac:dyDescent="0.35">
      <c r="A10" s="25"/>
      <c r="J10" s="25"/>
    </row>
    <row r="11" spans="1:20" x14ac:dyDescent="0.35">
      <c r="A11" s="26" t="s">
        <v>69</v>
      </c>
      <c r="J11" s="26" t="s">
        <v>69</v>
      </c>
    </row>
    <row r="12" spans="1:20" x14ac:dyDescent="0.35">
      <c r="A12" s="25"/>
      <c r="J12" s="25"/>
    </row>
    <row r="13" spans="1:20" x14ac:dyDescent="0.35">
      <c r="A13" s="26" t="s">
        <v>34</v>
      </c>
      <c r="J13" s="26" t="s">
        <v>34</v>
      </c>
    </row>
    <row r="14" spans="1:20" x14ac:dyDescent="0.35">
      <c r="A14" s="25"/>
      <c r="J14" s="25"/>
    </row>
    <row r="15" spans="1:20" x14ac:dyDescent="0.35">
      <c r="A15" s="26" t="s">
        <v>35</v>
      </c>
      <c r="J15" s="26" t="s">
        <v>80</v>
      </c>
    </row>
    <row r="16" spans="1:20" x14ac:dyDescent="0.35">
      <c r="A16" s="26" t="s">
        <v>58</v>
      </c>
      <c r="B16" s="24" t="s">
        <v>59</v>
      </c>
      <c r="C16" s="24"/>
      <c r="J16" s="26" t="s">
        <v>58</v>
      </c>
      <c r="K16" s="24" t="s">
        <v>59</v>
      </c>
    </row>
    <row r="17" spans="1:15" ht="23.5" x14ac:dyDescent="0.35">
      <c r="A17" s="23" t="s">
        <v>47</v>
      </c>
      <c r="J17" s="23" t="s">
        <v>47</v>
      </c>
    </row>
    <row r="18" spans="1:15" x14ac:dyDescent="0.35">
      <c r="A18" s="25"/>
      <c r="J18" s="25"/>
    </row>
    <row r="19" spans="1:15" x14ac:dyDescent="0.35">
      <c r="A19" s="25" t="s">
        <v>36</v>
      </c>
      <c r="E19">
        <f>D5*60*60</f>
        <v>32400</v>
      </c>
      <c r="J19" s="25" t="s">
        <v>36</v>
      </c>
      <c r="O19">
        <f>M5*60*60</f>
        <v>32400</v>
      </c>
    </row>
    <row r="20" spans="1:15" x14ac:dyDescent="0.35">
      <c r="A20" s="26" t="s">
        <v>60</v>
      </c>
      <c r="J20" s="25" t="s">
        <v>61</v>
      </c>
    </row>
    <row r="21" spans="1:15" x14ac:dyDescent="0.35">
      <c r="A21" s="25"/>
      <c r="J21" s="25"/>
    </row>
    <row r="22" spans="1:15" x14ac:dyDescent="0.35">
      <c r="A22" s="25" t="s">
        <v>63</v>
      </c>
      <c r="J22" s="25" t="s">
        <v>63</v>
      </c>
    </row>
    <row r="23" spans="1:15" x14ac:dyDescent="0.35">
      <c r="A23" s="25" t="s">
        <v>62</v>
      </c>
      <c r="E23">
        <f>E19*0.9</f>
        <v>29160</v>
      </c>
      <c r="J23" s="25" t="s">
        <v>62</v>
      </c>
      <c r="O23">
        <f>O19*0.9</f>
        <v>29160</v>
      </c>
    </row>
    <row r="24" spans="1:15" x14ac:dyDescent="0.35">
      <c r="A24" s="26" t="s">
        <v>64</v>
      </c>
      <c r="J24" s="26" t="s">
        <v>64</v>
      </c>
    </row>
    <row r="26" spans="1:15" ht="23.5" x14ac:dyDescent="0.35">
      <c r="A26" s="23" t="s">
        <v>46</v>
      </c>
      <c r="J26" s="23" t="s">
        <v>46</v>
      </c>
    </row>
    <row r="27" spans="1:15" x14ac:dyDescent="0.35">
      <c r="A27" s="25"/>
      <c r="J27" s="25"/>
    </row>
    <row r="28" spans="1:15" hidden="1" x14ac:dyDescent="0.35">
      <c r="A28" s="25" t="s">
        <v>37</v>
      </c>
      <c r="J28" s="25" t="s">
        <v>37</v>
      </c>
    </row>
    <row r="29" spans="1:15" x14ac:dyDescent="0.35">
      <c r="A29" s="25" t="s">
        <v>74</v>
      </c>
      <c r="E29" s="21">
        <f>E23/G9</f>
        <v>1267.8260869565217</v>
      </c>
      <c r="J29" s="25" t="s">
        <v>65</v>
      </c>
      <c r="O29">
        <f>O23/Q9</f>
        <v>1080</v>
      </c>
    </row>
    <row r="30" spans="1:15" x14ac:dyDescent="0.35">
      <c r="A30" s="26" t="s">
        <v>75</v>
      </c>
      <c r="J30" s="26" t="s">
        <v>66</v>
      </c>
    </row>
    <row r="32" spans="1:15" ht="23.5" x14ac:dyDescent="0.35">
      <c r="A32" s="23" t="s">
        <v>40</v>
      </c>
      <c r="J32" s="23" t="s">
        <v>40</v>
      </c>
    </row>
    <row r="33" spans="1:15" x14ac:dyDescent="0.35">
      <c r="A33" s="25"/>
      <c r="J33" s="25"/>
    </row>
    <row r="34" spans="1:15" x14ac:dyDescent="0.35">
      <c r="A34" s="25" t="s">
        <v>38</v>
      </c>
      <c r="J34" s="25" t="s">
        <v>38</v>
      </c>
    </row>
    <row r="35" spans="1:15" x14ac:dyDescent="0.35">
      <c r="A35" s="25" t="s">
        <v>76</v>
      </c>
      <c r="E35" s="36">
        <f>D4/E29</f>
        <v>1.2620027434842249</v>
      </c>
      <c r="J35" s="25" t="s">
        <v>78</v>
      </c>
      <c r="O35" s="36">
        <f>M4/O29</f>
        <v>2.1851851851851851</v>
      </c>
    </row>
    <row r="36" spans="1:15" x14ac:dyDescent="0.35">
      <c r="A36" s="26" t="s">
        <v>77</v>
      </c>
      <c r="J36" s="26" t="s">
        <v>83</v>
      </c>
    </row>
    <row r="38" spans="1:15" ht="17.5" x14ac:dyDescent="0.35">
      <c r="A38" s="27" t="s">
        <v>79</v>
      </c>
      <c r="J38" s="27" t="s">
        <v>39</v>
      </c>
    </row>
  </sheetData>
  <mergeCells count="1">
    <mergeCell ref="P7:T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</vt:lpstr>
      <vt:lpstr>Embroidery Capacity Plan</vt:lpstr>
      <vt:lpstr>Fusing Capacity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Dissanayake</dc:creator>
  <cp:lastModifiedBy>DELL</cp:lastModifiedBy>
  <dcterms:created xsi:type="dcterms:W3CDTF">2024-11-01T16:01:45Z</dcterms:created>
  <dcterms:modified xsi:type="dcterms:W3CDTF">2026-01-15T05:07:40Z</dcterms:modified>
</cp:coreProperties>
</file>